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ev\3mv3\zero_sum\"/>
    </mc:Choice>
  </mc:AlternateContent>
  <xr:revisionPtr revIDLastSave="0" documentId="13_ncr:1_{147C15F3-83BA-494D-B2C7-909A8FADF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" sheetId="1" r:id="rId1"/>
    <sheet name="LOANS" sheetId="2" r:id="rId2"/>
    <sheet name="SINKING FUND" sheetId="3" r:id="rId3"/>
    <sheet name="MONTHLY TEMPLATE" sheetId="4" r:id="rId4"/>
    <sheet name="HOLIDAY TEMPLA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B19" i="5"/>
  <c r="B28" i="5" s="1"/>
  <c r="E41" i="4"/>
  <c r="E37" i="4"/>
  <c r="D35" i="4"/>
  <c r="C35" i="4"/>
  <c r="E42" i="4" s="1"/>
  <c r="E34" i="4"/>
  <c r="E33" i="4"/>
  <c r="E32" i="4"/>
  <c r="E31" i="4"/>
  <c r="E30" i="4"/>
  <c r="E29" i="4"/>
  <c r="E28" i="4"/>
  <c r="E35" i="4" s="1"/>
  <c r="E27" i="4"/>
  <c r="D25" i="4"/>
  <c r="D37" i="4" s="1"/>
  <c r="C25" i="4"/>
  <c r="C37" i="4" s="1"/>
  <c r="E43" i="4" s="1"/>
  <c r="E24" i="4"/>
  <c r="S24" i="4" s="1"/>
  <c r="E23" i="4"/>
  <c r="S23" i="4" s="1"/>
  <c r="S22" i="4"/>
  <c r="O22" i="4"/>
  <c r="E22" i="4"/>
  <c r="F22" i="4" s="1"/>
  <c r="E21" i="4"/>
  <c r="S21" i="4" s="1"/>
  <c r="S20" i="4"/>
  <c r="O20" i="4"/>
  <c r="F20" i="4"/>
  <c r="E20" i="4"/>
  <c r="E19" i="4"/>
  <c r="S19" i="4" s="1"/>
  <c r="E18" i="4"/>
  <c r="S18" i="4" s="1"/>
  <c r="E17" i="4"/>
  <c r="S17" i="4" s="1"/>
  <c r="E16" i="4"/>
  <c r="S16" i="4" s="1"/>
  <c r="S15" i="4"/>
  <c r="O15" i="4"/>
  <c r="E15" i="4"/>
  <c r="F15" i="4" s="1"/>
  <c r="E14" i="4"/>
  <c r="S14" i="4" s="1"/>
  <c r="S13" i="4"/>
  <c r="O13" i="4"/>
  <c r="F13" i="4"/>
  <c r="E13" i="4"/>
  <c r="E12" i="4"/>
  <c r="S12" i="4" s="1"/>
  <c r="E11" i="4"/>
  <c r="S11" i="4" s="1"/>
  <c r="E10" i="4"/>
  <c r="S10" i="4" s="1"/>
  <c r="E9" i="4"/>
  <c r="S9" i="4" s="1"/>
  <c r="S8" i="4"/>
  <c r="O8" i="4"/>
  <c r="E8" i="4"/>
  <c r="F8" i="4" s="1"/>
  <c r="E7" i="4"/>
  <c r="E25" i="4" s="1"/>
  <c r="S6" i="4"/>
  <c r="O6" i="4"/>
  <c r="F6" i="4"/>
  <c r="E6" i="4"/>
  <c r="C4" i="4"/>
  <c r="E40" i="4" s="1"/>
  <c r="N24" i="3"/>
  <c r="M24" i="3"/>
  <c r="L24" i="3"/>
  <c r="K24" i="3"/>
  <c r="J24" i="3"/>
  <c r="I24" i="3"/>
  <c r="H24" i="3"/>
  <c r="G24" i="3"/>
  <c r="F24" i="3"/>
  <c r="E24" i="3"/>
  <c r="D24" i="3"/>
  <c r="C24" i="3"/>
  <c r="C26" i="3" s="1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E28" i="2"/>
  <c r="F23" i="2"/>
  <c r="F22" i="2"/>
  <c r="F21" i="2"/>
  <c r="F20" i="2"/>
  <c r="F19" i="2"/>
  <c r="F18" i="2"/>
  <c r="F17" i="2"/>
  <c r="F16" i="2"/>
  <c r="F15" i="2"/>
  <c r="F24" i="2" s="1"/>
  <c r="J11" i="2"/>
  <c r="B11" i="2"/>
  <c r="D34" i="1"/>
  <c r="G34" i="1" s="1"/>
  <c r="G33" i="1"/>
  <c r="D33" i="1"/>
  <c r="D32" i="1"/>
  <c r="G32" i="1" s="1"/>
  <c r="D31" i="1"/>
  <c r="G31" i="1" s="1"/>
  <c r="D30" i="1"/>
  <c r="G30" i="1" s="1"/>
  <c r="D29" i="1"/>
  <c r="G29" i="1" s="1"/>
  <c r="D27" i="1"/>
  <c r="G27" i="1" s="1"/>
  <c r="D26" i="1"/>
  <c r="G26" i="1" s="1"/>
  <c r="H22" i="1"/>
  <c r="H21" i="1"/>
  <c r="H20" i="1"/>
  <c r="H19" i="1"/>
  <c r="H18" i="1"/>
  <c r="H17" i="1"/>
  <c r="H16" i="1"/>
  <c r="H15" i="1"/>
  <c r="H14" i="1"/>
  <c r="H13" i="1"/>
  <c r="H12" i="1"/>
  <c r="F10" i="4" l="1"/>
  <c r="F17" i="4"/>
  <c r="F24" i="4"/>
  <c r="O10" i="4"/>
  <c r="O17" i="4"/>
  <c r="O24" i="4"/>
  <c r="F7" i="4"/>
  <c r="F14" i="4"/>
  <c r="F21" i="4"/>
  <c r="O7" i="4"/>
  <c r="O14" i="4"/>
  <c r="O21" i="4"/>
  <c r="S7" i="4"/>
  <c r="F11" i="4"/>
  <c r="F18" i="4"/>
  <c r="O11" i="4"/>
  <c r="O18" i="4"/>
  <c r="F12" i="4"/>
  <c r="F19" i="4"/>
  <c r="O12" i="4"/>
  <c r="O19" i="4"/>
  <c r="F9" i="4"/>
  <c r="F16" i="4"/>
  <c r="F23" i="4"/>
  <c r="O9" i="4"/>
  <c r="O16" i="4"/>
  <c r="O23" i="4"/>
</calcChain>
</file>

<file path=xl/sharedStrings.xml><?xml version="1.0" encoding="utf-8"?>
<sst xmlns="http://schemas.openxmlformats.org/spreadsheetml/2006/main" count="432" uniqueCount="284">
  <si>
    <t>💰  FINANCE CONTROL DASHBOARD  —  Updated: Mar 2026</t>
  </si>
  <si>
    <t>⚠  SECTION A — 0% LOAN COUNTDOWN  (hard deadlines)</t>
  </si>
  <si>
    <t>Loan</t>
  </si>
  <si>
    <t>Balance (£)</t>
  </si>
  <si>
    <t>PCM (£)</t>
  </si>
  <si>
    <t>Months Left</t>
  </si>
  <si>
    <t>End Date</t>
  </si>
  <si>
    <t>Shortfall (£)</t>
  </si>
  <si>
    <t>On Track?</t>
  </si>
  <si>
    <t>Notes</t>
  </si>
  <si>
    <t>Balance Transfer</t>
  </si>
  <si>
    <t>Jan-27</t>
  </si>
  <si>
    <t>🟡 WATCH</t>
  </si>
  <si>
    <t>HIGH — 0% expires Jan 2027. Must clear all by then.</t>
  </si>
  <si>
    <t>V12</t>
  </si>
  <si>
    <t>✅ OK</t>
  </si>
  <si>
    <t>On track — clears naturally.</t>
  </si>
  <si>
    <t>iPhone (Kris)</t>
  </si>
  <si>
    <t>Jun-27</t>
  </si>
  <si>
    <t>£180 pot already saved — £83 remaining gap.</t>
  </si>
  <si>
    <t>Novuna (Kris)</t>
  </si>
  <si>
    <t>Mar-27</t>
  </si>
  <si>
    <t>Kris-funded — not your shortfall.</t>
  </si>
  <si>
    <t>📋  SECTION B — DEFICIT TRACKER  (one-off sources + PCM contributions)</t>
  </si>
  <si>
    <t>Item</t>
  </si>
  <si>
    <t>Total Needed (£)</t>
  </si>
  <si>
    <t>Source / Description</t>
  </si>
  <si>
    <t>Expected Value (£)</t>
  </si>
  <si>
    <t>Expected By</t>
  </si>
  <si>
    <t>Received?</t>
  </si>
  <si>
    <t>Allocated To</t>
  </si>
  <si>
    <t>Remaining (£)</t>
  </si>
  <si>
    <t>eBay sales</t>
  </si>
  <si>
    <t>Apr-26</t>
  </si>
  <si>
    <t>N</t>
  </si>
  <si>
    <t>Balance T</t>
  </si>
  <si>
    <t>Lloyds Premier</t>
  </si>
  <si>
    <t>£70/mo PCM × 10</t>
  </si>
  <si>
    <t>Temporary subs cut</t>
  </si>
  <si>
    <t>Aug-26</t>
  </si>
  <si>
    <t>iPhone</t>
  </si>
  <si>
    <t>iPhone savings pot</t>
  </si>
  <si>
    <t>May-26</t>
  </si>
  <si>
    <t>£70/mo PCM overlap</t>
  </si>
  <si>
    <t>General CF</t>
  </si>
  <si>
    <t>Treadmill sale</t>
  </si>
  <si>
    <t>Thermal kit sale</t>
  </si>
  <si>
    <t>Partial food shop</t>
  </si>
  <si>
    <t>Mar-26</t>
  </si>
  <si>
    <t>Cashback (ins+bb+ph)</t>
  </si>
  <si>
    <t>Sep-26</t>
  </si>
  <si>
    <t>Total Outstanding:</t>
  </si>
  <si>
    <t>📅  SECTION C — BILL CHANGE TRACKER  (upcoming changes to fixed costs)</t>
  </si>
  <si>
    <t>Current PCM (£)</t>
  </si>
  <si>
    <t>New PCM (£)</t>
  </si>
  <si>
    <t>Monthly Δ (£)</t>
  </si>
  <si>
    <t>Effective Period</t>
  </si>
  <si>
    <t>Updated?</t>
  </si>
  <si>
    <t>Matt Fun Impact (£)</t>
  </si>
  <si>
    <t>Home Insurance</t>
  </si>
  <si>
    <t>MAY-JUN 26</t>
  </si>
  <si>
    <t>Reinsure — target ~£25</t>
  </si>
  <si>
    <t>Pet Insurance</t>
  </si>
  <si>
    <t>+£9 increase</t>
  </si>
  <si>
    <t>BMW Insurance</t>
  </si>
  <si>
    <t>—</t>
  </si>
  <si>
    <t>TBC</t>
  </si>
  <si>
    <t>JUL-AUG 26</t>
  </si>
  <si>
    <t>Expecting ~−£10 on reinsure. Check Topcashback/Quidco (£40-80 CB)</t>
  </si>
  <si>
    <t>Broadband / TV</t>
  </si>
  <si>
    <t>AUG-SEP 26</t>
  </si>
  <si>
    <t>Switching provider. Check Topcashback (£50-150 CB) + free gifts</t>
  </si>
  <si>
    <t>Matt Phone</t>
  </si>
  <si>
    <t>New SIM deal. Check Topcashback (£20-60 CB)</t>
  </si>
  <si>
    <t>Barclays Avios</t>
  </si>
  <si>
    <t>APR-MAY 26</t>
  </si>
  <si>
    <t>Temporary cancel or downgrade — restore Sep 26</t>
  </si>
  <si>
    <t>Barclaycard A+</t>
  </si>
  <si>
    <t>Skin</t>
  </si>
  <si>
    <t>Pause temporarily — restore when BT cleared</t>
  </si>
  <si>
    <t>Pay Rise</t>
  </si>
  <si>
    <t>MAR-APR 26</t>
  </si>
  <si>
    <t>Y</t>
  </si>
  <si>
    <t>Already applied</t>
  </si>
  <si>
    <t>📈  SECTION D — MATT FUN FORECAST  (zero-sum residual — income minus everything else)</t>
  </si>
  <si>
    <t>Period</t>
  </si>
  <si>
    <t>Income (£)</t>
  </si>
  <si>
    <t>Fixed Costs (£)</t>
  </si>
  <si>
    <t>Sinking (£)</t>
  </si>
  <si>
    <t>Matt Fun (£)</t>
  </si>
  <si>
    <t>vs Mar-26 (£)</t>
  </si>
  <si>
    <t>Key change in period</t>
  </si>
  <si>
    <t>Baseline — council tax risen, finance restored</t>
  </si>
  <si>
    <t>Barclays Avios/Bcard paused (−£27), Skin paused (−£50) → to deficit</t>
  </si>
  <si>
    <t>Home ins −£50, pet ins +£9 → net −£41 to fixed</t>
  </si>
  <si>
    <t>JUN-JUL 26</t>
  </si>
  <si>
    <t>No change</t>
  </si>
  <si>
    <t>BMW ins −£10</t>
  </si>
  <si>
    <t>Broadband −£15, phone −£19.10 → total −£34</t>
  </si>
  <si>
    <t>SEP-OCT 26</t>
  </si>
  <si>
    <t>Avios + Skin restored (+£77)</t>
  </si>
  <si>
    <t>OCT-NOV 26</t>
  </si>
  <si>
    <t>Avios/Skin back</t>
  </si>
  <si>
    <t>NOV-DEC 26</t>
  </si>
  <si>
    <t>DEC-JAN 27</t>
  </si>
  <si>
    <t>Deficit saving ends (−£70 sinking) if gap closed</t>
  </si>
  <si>
    <t>JAN-FEB 27</t>
  </si>
  <si>
    <t>BT clears (−£170) + V12 clears (−£48.22) from Finance</t>
  </si>
  <si>
    <t>FEB-MAR 27</t>
  </si>
  <si>
    <t>MAR-APR 27</t>
  </si>
  <si>
    <t>Novuna clears — goes to Kris, not you</t>
  </si>
  <si>
    <t>JUN-JUL 27</t>
  </si>
  <si>
    <t>iPhone clears (−£45.79)</t>
  </si>
  <si>
    <t>💳  LOAN TRACKER</t>
  </si>
  <si>
    <t>Active Loans</t>
  </si>
  <si>
    <t>Provider</t>
  </si>
  <si>
    <t>APR %</t>
  </si>
  <si>
    <t>Term Start</t>
  </si>
  <si>
    <t>Pay Day</t>
  </si>
  <si>
    <t>Length (mo)</t>
  </si>
  <si>
    <t>Month #</t>
  </si>
  <si>
    <t>Remaining (mo)</t>
  </si>
  <si>
    <t>Settlement (£)</t>
  </si>
  <si>
    <t>Tesco</t>
  </si>
  <si>
    <t>Apr-24</t>
  </si>
  <si>
    <t>Mar-30</t>
  </si>
  <si>
    <t>Interest loan — priority for overpayment after Jan 2027</t>
  </si>
  <si>
    <t>NatWest</t>
  </si>
  <si>
    <t>Mar-23</t>
  </si>
  <si>
    <t>Jun-30</t>
  </si>
  <si>
    <t>Interest loan — snowball after Tesco if selling cars</t>
  </si>
  <si>
    <t>Jan-25</t>
  </si>
  <si>
    <t>N/A</t>
  </si>
  <si>
    <t>0% — run to term. Frees £48/mo Jan-27</t>
  </si>
  <si>
    <t>Novuna</t>
  </si>
  <si>
    <t>Feb-25</t>
  </si>
  <si>
    <t>0% — Kris funded. Goes back to Kris on clearance</t>
  </si>
  <si>
    <t>0% HARD DEADLINE Jan-27. £304 shortfall — see deficit tracker</t>
  </si>
  <si>
    <t>Jun-25</t>
  </si>
  <si>
    <t>0% — £263 shortfall. £180 pot saved, £83 remains</t>
  </si>
  <si>
    <t>TOTAL</t>
  </si>
  <si>
    <t>One-Off Deficit Sources  (tick 'Done?' when received — remaining auto-updates)</t>
  </si>
  <si>
    <t>Source</t>
  </si>
  <si>
    <t>Expected (£)</t>
  </si>
  <si>
    <t>Done?</t>
  </si>
  <si>
    <t>List items and price them first</t>
  </si>
  <si>
    <t>Lloyds Premier cashback</t>
  </si>
  <si>
    <t>Check claim eligibility date</t>
  </si>
  <si>
    <t>Already saved — deploy when needed</t>
  </si>
  <si>
    <t>Broadband cashback</t>
  </si>
  <si>
    <t>Topcashback/Quidco on switch</t>
  </si>
  <si>
    <t>Car ins cashback</t>
  </si>
  <si>
    <t>Jul-26</t>
  </si>
  <si>
    <t>Topcashback/Quidco on reinsure</t>
  </si>
  <si>
    <t>Phone cashback</t>
  </si>
  <si>
    <t>Topcashback on new SIM</t>
  </si>
  <si>
    <t>Total Remaining:</t>
  </si>
  <si>
    <t>PCM Contributions  (monthly deficit savings)</t>
  </si>
  <si>
    <t>Started</t>
  </si>
  <si>
    <t>Months</t>
  </si>
  <si>
    <t>Total Contribution (£)</t>
  </si>
  <si>
    <t>Deficit saving</t>
  </si>
  <si>
    <t>Runs until Jan-27 when BT clears</t>
  </si>
  <si>
    <t>Jan 2027 Snowball Plan — PCM freed when 0% loans clear</t>
  </si>
  <si>
    <t>PCM Freed (£)</t>
  </si>
  <si>
    <t>Date</t>
  </si>
  <si>
    <t>Goes To</t>
  </si>
  <si>
    <t>Cumulative Freed (£)</t>
  </si>
  <si>
    <t>Matt Fun / Tesco overpayment</t>
  </si>
  <si>
    <t>Your Matt Fun jumps by this amount automatically</t>
  </si>
  <si>
    <t>Returns to Kris</t>
  </si>
  <si>
    <t>— Kris</t>
  </si>
  <si>
    <t>Not your money — ignore in your budget</t>
  </si>
  <si>
    <t>📊  SINKING FUND FORECAST 2026  —  Irregular spend planning</t>
  </si>
  <si>
    <t>Category</t>
  </si>
  <si>
    <t>Monthly IN (£)</t>
  </si>
  <si>
    <t>JAN-FEB</t>
  </si>
  <si>
    <t>FEB-MAR</t>
  </si>
  <si>
    <t>MAR-APR</t>
  </si>
  <si>
    <t>APR-MAY</t>
  </si>
  <si>
    <t>MAY-JUN</t>
  </si>
  <si>
    <t>JUN-JUL</t>
  </si>
  <si>
    <t>JUL-AUG</t>
  </si>
  <si>
    <t>AUG-SEP</t>
  </si>
  <si>
    <t>SEP-OCT</t>
  </si>
  <si>
    <t>OCT-NOV</t>
  </si>
  <si>
    <t>NOV-DEC</t>
  </si>
  <si>
    <t>DEC-JAN</t>
  </si>
  <si>
    <t>← Monthly IN = how much you set aside per month</t>
  </si>
  <si>
    <t>← Columns = amount SPENT that period (irregular outgoings only)</t>
  </si>
  <si>
    <t>MOT + Service</t>
  </si>
  <si>
    <t>Gift</t>
  </si>
  <si>
    <t>Scotland 2026</t>
  </si>
  <si>
    <t>Vegas 2026</t>
  </si>
  <si>
    <t>Bali 2026</t>
  </si>
  <si>
    <t>Kris Vietnam 2026</t>
  </si>
  <si>
    <t>Kris Venice 2026</t>
  </si>
  <si>
    <t>Health</t>
  </si>
  <si>
    <t>TV License</t>
  </si>
  <si>
    <t>AMZ Prime</t>
  </si>
  <si>
    <t>AMEX BA Premier</t>
  </si>
  <si>
    <t>Ground Svc Charge</t>
  </si>
  <si>
    <t>Runescape</t>
  </si>
  <si>
    <t>Rug/Carpet Clean</t>
  </si>
  <si>
    <t>Babu</t>
  </si>
  <si>
    <t>Summer/Xmas Budget</t>
  </si>
  <si>
    <t>Luna Health check</t>
  </si>
  <si>
    <t>Tentbox</t>
  </si>
  <si>
    <t>OUT (total spend)</t>
  </si>
  <si>
    <t>IN (monthly contributions)</t>
  </si>
  <si>
    <t>NET (surplus / deficit)</t>
  </si>
  <si>
    <t>💡  Tip: Link Bali 2026, Vegas 2026, Scotland 2026 cells to 'Remaining' cell on each holiday planner sheet so this updates automatically.</t>
  </si>
  <si>
    <t>📅  MONTHLY BUDGET  —  [PERIOD]  |  Copy this sheet for each new month</t>
  </si>
  <si>
    <t>W1 AMEX</t>
  </si>
  <si>
    <t>W1 BARC</t>
  </si>
  <si>
    <t>W2 AMEX</t>
  </si>
  <si>
    <t>W2 BARC</t>
  </si>
  <si>
    <t>W3 AMEX</t>
  </si>
  <si>
    <t>W3 BARC</t>
  </si>
  <si>
    <t>W4 AMEX</t>
  </si>
  <si>
    <t>W4 BARC</t>
  </si>
  <si>
    <t>Remaining</t>
  </si>
  <si>
    <t>AMEX Total</t>
  </si>
  <si>
    <t>BARC Total</t>
  </si>
  <si>
    <t>Over?</t>
  </si>
  <si>
    <t>Income</t>
  </si>
  <si>
    <t>← update with actual take-home</t>
  </si>
  <si>
    <t>EXPENSES (fixed costs)</t>
  </si>
  <si>
    <t>Mortgage</t>
  </si>
  <si>
    <t>Council Tax</t>
  </si>
  <si>
    <t>Utilities (G,W,E,HTB)</t>
  </si>
  <si>
    <t>Pet Health / Insurance</t>
  </si>
  <si>
    <t>Life / Income Insurance</t>
  </si>
  <si>
    <t>Kris Phone</t>
  </si>
  <si>
    <t>Cars</t>
  </si>
  <si>
    <t>Finance</t>
  </si>
  <si>
    <t>Windows</t>
  </si>
  <si>
    <t>Contingency</t>
  </si>
  <si>
    <t>Subscriptions</t>
  </si>
  <si>
    <t>Car Petrol / commuting</t>
  </si>
  <si>
    <t>Food</t>
  </si>
  <si>
    <t>Luna</t>
  </si>
  <si>
    <t>EXPENSES TOTAL</t>
  </si>
  <si>
    <t>SINKING FUND  (earmarked future spend)</t>
  </si>
  <si>
    <t>Offset</t>
  </si>
  <si>
    <t>Deficit balance</t>
  </si>
  <si>
    <t>Avios</t>
  </si>
  <si>
    <t>TV</t>
  </si>
  <si>
    <t>SINKING FUND TOTAL</t>
  </si>
  <si>
    <t>MATT FUN  (residual — income minus everything)</t>
  </si>
  <si>
    <t>Matt Fun</t>
  </si>
  <si>
    <t>SUMMARY</t>
  </si>
  <si>
    <t>Budget</t>
  </si>
  <si>
    <t>Expenses</t>
  </si>
  <si>
    <t>Sinking Fund</t>
  </si>
  <si>
    <t>📌  NEXT MONTH KNOWN CHANGES  (fill in when opening new month)</t>
  </si>
  <si>
    <t>Change (£)</t>
  </si>
  <si>
    <t>Direction</t>
  </si>
  <si>
    <t>✈  HOLIDAY PLANNER  —  [HOLIDAY NAME]</t>
  </si>
  <si>
    <t>Outbound date:</t>
  </si>
  <si>
    <t>Inbound date:</t>
  </si>
  <si>
    <t>Total days:</t>
  </si>
  <si>
    <t>Destination:</t>
  </si>
  <si>
    <t>Cost Breakdown</t>
  </si>
  <si>
    <t>Budgeted (£)</t>
  </si>
  <si>
    <t>Paid (£)</t>
  </si>
  <si>
    <t>Flights</t>
  </si>
  <si>
    <t>Seats / upgrades</t>
  </si>
  <si>
    <t>Accommodation</t>
  </si>
  <si>
    <t>Transfers</t>
  </si>
  <si>
    <t>Travel insurance</t>
  </si>
  <si>
    <t>Doggy care / pet care</t>
  </si>
  <si>
    <t>Airport parking + fuel</t>
  </si>
  <si>
    <t>Spending money</t>
  </si>
  <si>
    <t>Other</t>
  </si>
  <si>
    <t>GROSS TOTAL</t>
  </si>
  <si>
    <t>Offsets  (savings from normal budget, Avios, cashback)</t>
  </si>
  <si>
    <t>Amount (£)</t>
  </si>
  <si>
    <t>Food budget saving (redirect)</t>
  </si>
  <si>
    <t>Fun budget redirect</t>
  </si>
  <si>
    <t>Avios redemption value</t>
  </si>
  <si>
    <t>Cashback</t>
  </si>
  <si>
    <t>⭐  REMAINING TO FUND  (link this cell in Sinking Fund sheet)</t>
  </si>
  <si>
    <t>💡  Avios tip: 1 Avios ≈ 1p–2p depending on redemption. Business class redemptions typically yield 3p+. Factor in taxes/fees on reward bookings.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</si>
</sst>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;[Red]\-\£#,##0.00"/>
    <numFmt numFmtId="165" formatCode="0.0&quot;%&quot;"/>
    <numFmt numFmtId="166" formatCode="\£#,##0.00"/>
    <numFmt numFmtId="167" formatCode="\£#,##0.00;[Red]\+\£#,##0.00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212121"/>
      <name val="Calibri"/>
    </font>
    <font>
      <b/>
      <sz val="11"/>
      <color rgb="FFFFFFFF"/>
      <name val="Calibri"/>
    </font>
    <font>
      <sz val="11"/>
      <color rgb="FF212121"/>
      <name val="Calibri"/>
    </font>
    <font>
      <b/>
      <sz val="11"/>
      <color rgb="FF212121"/>
      <name val="Calibri"/>
    </font>
    <font>
      <i/>
      <sz val="11"/>
      <color rgb="FF212121"/>
      <name val="Calibri"/>
    </font>
    <font>
      <b/>
      <sz val="11"/>
      <color rgb="FFB71C1C"/>
      <name val="Calibri"/>
    </font>
    <font>
      <b/>
      <sz val="11"/>
      <color rgb="FF5D4037"/>
      <name val="Calibri"/>
    </font>
    <font>
      <sz val="11"/>
      <color rgb="FF1B5E20"/>
      <name val="Calibri"/>
    </font>
    <font>
      <b/>
      <sz val="11"/>
      <color rgb="FF1B5E20"/>
      <name val="Calibri"/>
    </font>
    <font>
      <b/>
      <sz val="10"/>
      <color rgb="FFFFFFFF"/>
      <name val="Calibri"/>
    </font>
    <font>
      <i/>
      <sz val="9"/>
      <color rgb="FF777777"/>
      <name val="Calibri"/>
    </font>
    <font>
      <i/>
      <sz val="11"/>
      <color rgb="FFAAAAAA"/>
      <name val="Calibri"/>
    </font>
    <font>
      <i/>
      <sz val="9"/>
      <color rgb="FF555555"/>
      <name val="Calibri"/>
    </font>
    <font>
      <b/>
      <sz val="15"/>
      <color rgb="FFFFFFFF"/>
      <name val="Calibri"/>
    </font>
    <font>
      <b/>
      <sz val="9"/>
      <color rgb="FFFFFFFF"/>
      <name val="Calibri"/>
    </font>
    <font>
      <i/>
      <sz val="11"/>
      <color rgb="FF888888"/>
      <name val="Calibri"/>
    </font>
    <font>
      <i/>
      <sz val="11"/>
      <color rgb="FF1565C0"/>
      <name val="Calibri"/>
    </font>
    <font>
      <i/>
      <sz val="11"/>
      <color rgb="FF1B5E20"/>
      <name val="Calibri"/>
    </font>
    <font>
      <b/>
      <sz val="11"/>
      <color rgb="FF4A148C"/>
      <name val="Calibri"/>
    </font>
    <font>
      <b/>
      <sz val="12"/>
      <color rgb="FF5D4037"/>
      <name val="Calibri"/>
    </font>
    <font>
      <b/>
      <sz val="14"/>
      <color rgb="FFB71C1C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FFF8E1"/>
      </patternFill>
    </fill>
    <fill>
      <patternFill patternType="solid">
        <fgColor rgb="FF2D2D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EDF8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7C9BF5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DE7F6"/>
      </patternFill>
    </fill>
    <fill>
      <patternFill patternType="solid">
        <fgColor rgb="FFFFF17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0" fillId="5" borderId="1" xfId="0" applyFill="1" applyBorder="1"/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10" fillId="10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66" fontId="3" fillId="2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164" fontId="3" fillId="11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center" vertical="center" wrapText="1"/>
    </xf>
    <xf numFmtId="0" fontId="5" fillId="0" borderId="0" xfId="0" applyFont="1"/>
    <xf numFmtId="166" fontId="5" fillId="6" borderId="1" xfId="0" applyNumberFormat="1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left" vertical="center" wrapText="1"/>
    </xf>
    <xf numFmtId="166" fontId="18" fillId="12" borderId="1" xfId="0" applyNumberFormat="1" applyFont="1" applyFill="1" applyBorder="1" applyAlignment="1">
      <alignment horizontal="right" vertical="center"/>
    </xf>
    <xf numFmtId="167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167" fontId="0" fillId="6" borderId="1" xfId="0" applyNumberFormat="1" applyFill="1" applyBorder="1" applyAlignment="1">
      <alignment horizontal="right" vertical="center"/>
    </xf>
    <xf numFmtId="166" fontId="0" fillId="6" borderId="1" xfId="0" applyNumberForma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166" fontId="19" fillId="13" borderId="1" xfId="0" applyNumberFormat="1" applyFont="1" applyFill="1" applyBorder="1" applyAlignment="1">
      <alignment horizontal="right" vertical="center"/>
    </xf>
    <xf numFmtId="166" fontId="20" fillId="1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right" vertical="center"/>
    </xf>
    <xf numFmtId="0" fontId="21" fillId="15" borderId="1" xfId="0" applyFont="1" applyFill="1" applyBorder="1" applyAlignment="1">
      <alignment horizontal="left" vertical="center" wrapText="1"/>
    </xf>
    <xf numFmtId="164" fontId="22" fillId="15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2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4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2" fillId="0" borderId="0" xfId="0" applyFont="1"/>
  </cellXfs>
  <cellStyles count="1">
    <cellStyle name="Normal" xfId="0" builtinId="0"/>
  </cellStyles>
  <dxfs count="3">
    <dxf>
      <font>
        <color rgb="FFFFFFFF"/>
        <name val="Calibri"/>
      </font>
      <fill>
        <patternFill patternType="solid">
          <bgColor rgb="FF4CAF50"/>
        </patternFill>
      </fill>
    </dxf>
    <dxf>
      <font>
        <color rgb="FFFFFFFF"/>
        <name val="Calibri"/>
      </font>
      <fill>
        <patternFill patternType="solid">
          <bgColor rgb="FF4CAF50"/>
        </patternFill>
      </fill>
    </dxf>
    <dxf>
      <font>
        <color rgb="FFFFFFFF"/>
        <name val="Calibri"/>
      </font>
      <fill>
        <patternFill patternType="solid">
          <bgColor rgb="FF4CAF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workbookViewId="0">
      <pane ySplit="3" topLeftCell="A4" activePane="bottomLeft" state="frozen"/>
      <selection pane="bottomLeft" sqref="A1:N1"/>
    </sheetView>
  </sheetViews>
  <sheetFormatPr defaultRowHeight="14.4" x14ac:dyDescent="0.3"/>
  <cols>
    <col min="1" max="1" width="14" customWidth="1"/>
    <col min="2" max="2" width="13" customWidth="1"/>
    <col min="3" max="3" width="15" customWidth="1"/>
    <col min="4" max="4" width="13" customWidth="1"/>
    <col min="5" max="6" width="14" customWidth="1"/>
    <col min="7" max="7" width="40" customWidth="1"/>
    <col min="8" max="8" width="30" customWidth="1"/>
  </cols>
  <sheetData>
    <row r="1" spans="1:14" ht="31.95" customHeight="1" x14ac:dyDescent="0.3">
      <c r="A1" s="70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7.95" customHeight="1" x14ac:dyDescent="0.3"/>
    <row r="3" spans="1:14" x14ac:dyDescent="0.3">
      <c r="A3" s="67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 spans="1:1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2"/>
      <c r="J4" s="2"/>
      <c r="K4" s="2"/>
      <c r="L4" s="2"/>
      <c r="M4" s="2"/>
      <c r="N4" s="2"/>
    </row>
    <row r="5" spans="1:14" ht="28.8" x14ac:dyDescent="0.3">
      <c r="A5" s="3" t="s">
        <v>10</v>
      </c>
      <c r="B5" s="4">
        <v>2704.04</v>
      </c>
      <c r="C5" s="4">
        <v>170</v>
      </c>
      <c r="D5" s="5">
        <v>10</v>
      </c>
      <c r="E5" s="5" t="s">
        <v>11</v>
      </c>
      <c r="F5" s="4">
        <v>304.04000000000002</v>
      </c>
      <c r="G5" s="6" t="s">
        <v>12</v>
      </c>
      <c r="H5" s="7" t="s">
        <v>13</v>
      </c>
      <c r="I5" s="8"/>
      <c r="J5" s="8"/>
      <c r="K5" s="8"/>
      <c r="L5" s="8"/>
      <c r="M5" s="8"/>
      <c r="N5" s="8"/>
    </row>
    <row r="6" spans="1:14" x14ac:dyDescent="0.3">
      <c r="A6" s="9" t="s">
        <v>14</v>
      </c>
      <c r="B6" s="10">
        <v>530.41999999999996</v>
      </c>
      <c r="C6" s="10">
        <v>48.22</v>
      </c>
      <c r="D6" s="11">
        <v>11</v>
      </c>
      <c r="E6" s="11" t="s">
        <v>11</v>
      </c>
      <c r="F6" s="10">
        <v>0</v>
      </c>
      <c r="G6" s="12" t="s">
        <v>15</v>
      </c>
      <c r="H6" s="13" t="s">
        <v>16</v>
      </c>
      <c r="I6" s="14"/>
      <c r="J6" s="14"/>
      <c r="K6" s="14"/>
      <c r="L6" s="14"/>
      <c r="M6" s="14"/>
      <c r="N6" s="14"/>
    </row>
    <row r="7" spans="1:14" ht="28.8" x14ac:dyDescent="0.3">
      <c r="A7" s="3" t="s">
        <v>17</v>
      </c>
      <c r="B7" s="4">
        <v>870.01</v>
      </c>
      <c r="C7" s="4">
        <v>45.79</v>
      </c>
      <c r="D7" s="5">
        <v>19</v>
      </c>
      <c r="E7" s="5" t="s">
        <v>18</v>
      </c>
      <c r="F7" s="4">
        <v>263.3</v>
      </c>
      <c r="G7" s="6" t="s">
        <v>12</v>
      </c>
      <c r="H7" s="7" t="s">
        <v>19</v>
      </c>
      <c r="I7" s="8"/>
      <c r="J7" s="8"/>
      <c r="K7" s="8"/>
      <c r="L7" s="8"/>
      <c r="M7" s="8"/>
      <c r="N7" s="8"/>
    </row>
    <row r="8" spans="1:14" x14ac:dyDescent="0.3">
      <c r="A8" s="9" t="s">
        <v>20</v>
      </c>
      <c r="B8" s="10">
        <v>2062.5</v>
      </c>
      <c r="C8" s="10">
        <v>137.5</v>
      </c>
      <c r="D8" s="11">
        <v>15</v>
      </c>
      <c r="E8" s="11" t="s">
        <v>21</v>
      </c>
      <c r="F8" s="10">
        <v>0</v>
      </c>
      <c r="G8" s="12" t="s">
        <v>15</v>
      </c>
      <c r="H8" s="13" t="s">
        <v>22</v>
      </c>
      <c r="I8" s="14"/>
      <c r="J8" s="14"/>
      <c r="K8" s="14"/>
      <c r="L8" s="14"/>
      <c r="M8" s="14"/>
      <c r="N8" s="14"/>
    </row>
    <row r="10" spans="1:14" x14ac:dyDescent="0.3">
      <c r="A10" s="69" t="s">
        <v>23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4" ht="28.8" x14ac:dyDescent="0.3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  <c r="I11" s="2"/>
      <c r="J11" s="2"/>
      <c r="K11" s="2"/>
      <c r="L11" s="2"/>
      <c r="M11" s="2"/>
      <c r="N11" s="2"/>
    </row>
    <row r="12" spans="1:14" ht="28.8" x14ac:dyDescent="0.3">
      <c r="A12" s="15" t="s">
        <v>10</v>
      </c>
      <c r="B12" s="16">
        <v>1004.04</v>
      </c>
      <c r="C12" s="3" t="s">
        <v>32</v>
      </c>
      <c r="D12" s="4">
        <v>550</v>
      </c>
      <c r="E12" s="5" t="s">
        <v>33</v>
      </c>
      <c r="F12" s="5" t="s">
        <v>34</v>
      </c>
      <c r="G12" s="3" t="s">
        <v>35</v>
      </c>
      <c r="H12" s="4">
        <f t="shared" ref="H12:H21" si="0">IF(F12="Y",0,D12)</f>
        <v>550</v>
      </c>
      <c r="I12" s="8"/>
      <c r="J12" s="8"/>
      <c r="K12" s="8"/>
      <c r="L12" s="8"/>
      <c r="M12" s="8"/>
      <c r="N12" s="8"/>
    </row>
    <row r="13" spans="1:14" ht="28.8" x14ac:dyDescent="0.3">
      <c r="A13" s="9" t="s">
        <v>10</v>
      </c>
      <c r="B13" s="17"/>
      <c r="C13" s="9" t="s">
        <v>36</v>
      </c>
      <c r="D13" s="10">
        <v>500</v>
      </c>
      <c r="E13" s="11" t="s">
        <v>33</v>
      </c>
      <c r="F13" s="11" t="s">
        <v>34</v>
      </c>
      <c r="G13" s="9" t="s">
        <v>35</v>
      </c>
      <c r="H13" s="10">
        <f t="shared" si="0"/>
        <v>500</v>
      </c>
      <c r="I13" s="14"/>
      <c r="J13" s="14"/>
      <c r="K13" s="14"/>
      <c r="L13" s="14"/>
      <c r="M13" s="14"/>
      <c r="N13" s="14"/>
    </row>
    <row r="14" spans="1:14" ht="28.8" x14ac:dyDescent="0.3">
      <c r="A14" s="3" t="s">
        <v>10</v>
      </c>
      <c r="B14" s="18"/>
      <c r="C14" s="3" t="s">
        <v>37</v>
      </c>
      <c r="D14" s="4">
        <v>700</v>
      </c>
      <c r="E14" s="5" t="s">
        <v>11</v>
      </c>
      <c r="F14" s="5" t="s">
        <v>34</v>
      </c>
      <c r="G14" s="3" t="s">
        <v>35</v>
      </c>
      <c r="H14" s="4">
        <f t="shared" si="0"/>
        <v>700</v>
      </c>
      <c r="I14" s="8"/>
      <c r="J14" s="8"/>
      <c r="K14" s="8"/>
      <c r="L14" s="8"/>
      <c r="M14" s="8"/>
      <c r="N14" s="8"/>
    </row>
    <row r="15" spans="1:14" ht="28.8" x14ac:dyDescent="0.3">
      <c r="A15" s="9" t="s">
        <v>10</v>
      </c>
      <c r="B15" s="17"/>
      <c r="C15" s="9" t="s">
        <v>38</v>
      </c>
      <c r="D15" s="10">
        <v>385</v>
      </c>
      <c r="E15" s="11" t="s">
        <v>39</v>
      </c>
      <c r="F15" s="11" t="s">
        <v>34</v>
      </c>
      <c r="G15" s="9" t="s">
        <v>35</v>
      </c>
      <c r="H15" s="10">
        <f t="shared" si="0"/>
        <v>385</v>
      </c>
      <c r="I15" s="14"/>
      <c r="J15" s="14"/>
      <c r="K15" s="14"/>
      <c r="L15" s="14"/>
      <c r="M15" s="14"/>
      <c r="N15" s="14"/>
    </row>
    <row r="16" spans="1:14" ht="28.8" x14ac:dyDescent="0.3">
      <c r="A16" s="15" t="s">
        <v>40</v>
      </c>
      <c r="B16" s="16">
        <v>263.3</v>
      </c>
      <c r="C16" s="3" t="s">
        <v>41</v>
      </c>
      <c r="D16" s="4">
        <v>180</v>
      </c>
      <c r="E16" s="5" t="s">
        <v>42</v>
      </c>
      <c r="F16" s="5" t="s">
        <v>34</v>
      </c>
      <c r="G16" s="3" t="s">
        <v>40</v>
      </c>
      <c r="H16" s="4">
        <f t="shared" si="0"/>
        <v>180</v>
      </c>
      <c r="I16" s="8"/>
      <c r="J16" s="8"/>
      <c r="K16" s="8"/>
      <c r="L16" s="8"/>
      <c r="M16" s="8"/>
      <c r="N16" s="8"/>
    </row>
    <row r="17" spans="1:14" ht="28.8" x14ac:dyDescent="0.3">
      <c r="A17" s="9" t="s">
        <v>40</v>
      </c>
      <c r="B17" s="17"/>
      <c r="C17" s="9" t="s">
        <v>43</v>
      </c>
      <c r="D17" s="10">
        <v>83.3</v>
      </c>
      <c r="E17" s="11" t="s">
        <v>42</v>
      </c>
      <c r="F17" s="11" t="s">
        <v>34</v>
      </c>
      <c r="G17" s="9" t="s">
        <v>40</v>
      </c>
      <c r="H17" s="10">
        <f t="shared" si="0"/>
        <v>83.3</v>
      </c>
      <c r="I17" s="14"/>
      <c r="J17" s="14"/>
      <c r="K17" s="14"/>
      <c r="L17" s="14"/>
      <c r="M17" s="14"/>
      <c r="N17" s="14"/>
    </row>
    <row r="18" spans="1:14" x14ac:dyDescent="0.3">
      <c r="A18" s="15" t="s">
        <v>44</v>
      </c>
      <c r="B18" s="16">
        <v>1028.97</v>
      </c>
      <c r="C18" s="3" t="s">
        <v>45</v>
      </c>
      <c r="D18" s="4">
        <v>300</v>
      </c>
      <c r="E18" s="5" t="s">
        <v>42</v>
      </c>
      <c r="F18" s="5" t="s">
        <v>34</v>
      </c>
      <c r="G18" s="3" t="s">
        <v>44</v>
      </c>
      <c r="H18" s="4">
        <f t="shared" si="0"/>
        <v>300</v>
      </c>
      <c r="I18" s="8"/>
      <c r="J18" s="8"/>
      <c r="K18" s="8"/>
      <c r="L18" s="8"/>
      <c r="M18" s="8"/>
      <c r="N18" s="8"/>
    </row>
    <row r="19" spans="1:14" x14ac:dyDescent="0.3">
      <c r="A19" s="9" t="s">
        <v>44</v>
      </c>
      <c r="B19" s="17"/>
      <c r="C19" s="9" t="s">
        <v>46</v>
      </c>
      <c r="D19" s="10">
        <v>175</v>
      </c>
      <c r="E19" s="11" t="s">
        <v>42</v>
      </c>
      <c r="F19" s="11" t="s">
        <v>34</v>
      </c>
      <c r="G19" s="9" t="s">
        <v>44</v>
      </c>
      <c r="H19" s="10">
        <f t="shared" si="0"/>
        <v>175</v>
      </c>
      <c r="I19" s="14"/>
      <c r="J19" s="14"/>
      <c r="K19" s="14"/>
      <c r="L19" s="14"/>
      <c r="M19" s="14"/>
      <c r="N19" s="14"/>
    </row>
    <row r="20" spans="1:14" x14ac:dyDescent="0.3">
      <c r="A20" s="3" t="s">
        <v>44</v>
      </c>
      <c r="B20" s="18"/>
      <c r="C20" s="3" t="s">
        <v>47</v>
      </c>
      <c r="D20" s="4">
        <v>50</v>
      </c>
      <c r="E20" s="5" t="s">
        <v>48</v>
      </c>
      <c r="F20" s="5" t="s">
        <v>34</v>
      </c>
      <c r="G20" s="3" t="s">
        <v>44</v>
      </c>
      <c r="H20" s="4">
        <f t="shared" si="0"/>
        <v>50</v>
      </c>
      <c r="I20" s="8"/>
      <c r="J20" s="8"/>
      <c r="K20" s="8"/>
      <c r="L20" s="8"/>
      <c r="M20" s="8"/>
      <c r="N20" s="8"/>
    </row>
    <row r="21" spans="1:14" ht="28.8" x14ac:dyDescent="0.3">
      <c r="A21" s="9" t="s">
        <v>44</v>
      </c>
      <c r="B21" s="17"/>
      <c r="C21" s="9" t="s">
        <v>49</v>
      </c>
      <c r="D21" s="10">
        <v>150</v>
      </c>
      <c r="E21" s="11" t="s">
        <v>50</v>
      </c>
      <c r="F21" s="11" t="s">
        <v>34</v>
      </c>
      <c r="G21" s="9" t="s">
        <v>44</v>
      </c>
      <c r="H21" s="10">
        <f t="shared" si="0"/>
        <v>150</v>
      </c>
      <c r="I21" s="14"/>
      <c r="J21" s="14"/>
      <c r="K21" s="14"/>
      <c r="L21" s="14"/>
      <c r="M21" s="14"/>
      <c r="N21" s="14"/>
    </row>
    <row r="22" spans="1:14" x14ac:dyDescent="0.3">
      <c r="G22" s="19" t="s">
        <v>51</v>
      </c>
      <c r="H22" s="20">
        <f>SUMPRODUCT((H12:H21)*(H12:H21&lt;&gt;""))</f>
        <v>3073.3</v>
      </c>
    </row>
    <row r="24" spans="1:14" x14ac:dyDescent="0.3">
      <c r="A24" s="69" t="s">
        <v>52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  <row r="25" spans="1:14" ht="28.8" x14ac:dyDescent="0.3">
      <c r="A25" s="1" t="s">
        <v>24</v>
      </c>
      <c r="B25" s="1" t="s">
        <v>53</v>
      </c>
      <c r="C25" s="1" t="s">
        <v>54</v>
      </c>
      <c r="D25" s="1" t="s">
        <v>55</v>
      </c>
      <c r="E25" s="1" t="s">
        <v>56</v>
      </c>
      <c r="F25" s="1" t="s">
        <v>57</v>
      </c>
      <c r="G25" s="1" t="s">
        <v>58</v>
      </c>
      <c r="H25" s="1" t="s">
        <v>9</v>
      </c>
      <c r="I25" s="2"/>
      <c r="J25" s="2"/>
      <c r="K25" s="2"/>
      <c r="L25" s="2"/>
      <c r="M25" s="2"/>
      <c r="N25" s="2"/>
    </row>
    <row r="26" spans="1:14" ht="28.8" x14ac:dyDescent="0.3">
      <c r="A26" s="3" t="s">
        <v>59</v>
      </c>
      <c r="B26" s="4">
        <v>87.84</v>
      </c>
      <c r="C26" s="4">
        <v>25</v>
      </c>
      <c r="D26" s="21">
        <f>C26-B26</f>
        <v>-62.84</v>
      </c>
      <c r="E26" s="5" t="s">
        <v>60</v>
      </c>
      <c r="F26" s="5" t="s">
        <v>34</v>
      </c>
      <c r="G26" s="16">
        <f>-D26</f>
        <v>62.84</v>
      </c>
      <c r="H26" s="7" t="s">
        <v>61</v>
      </c>
      <c r="I26" s="8"/>
      <c r="J26" s="8"/>
      <c r="K26" s="8"/>
      <c r="L26" s="8"/>
      <c r="M26" s="8"/>
      <c r="N26" s="8"/>
    </row>
    <row r="27" spans="1:14" x14ac:dyDescent="0.3">
      <c r="A27" s="9" t="s">
        <v>62</v>
      </c>
      <c r="B27" s="10">
        <v>54.98</v>
      </c>
      <c r="C27" s="10">
        <v>63.98</v>
      </c>
      <c r="D27" s="22">
        <f>C27-B27</f>
        <v>9</v>
      </c>
      <c r="E27" s="11" t="s">
        <v>60</v>
      </c>
      <c r="F27" s="11" t="s">
        <v>34</v>
      </c>
      <c r="G27" s="23">
        <f>-D27</f>
        <v>-9</v>
      </c>
      <c r="H27" s="13" t="s">
        <v>63</v>
      </c>
      <c r="I27" s="14"/>
      <c r="J27" s="14"/>
      <c r="K27" s="14"/>
      <c r="L27" s="14"/>
      <c r="M27" s="14"/>
      <c r="N27" s="14"/>
    </row>
    <row r="28" spans="1:14" ht="43.2" x14ac:dyDescent="0.3">
      <c r="A28" s="3" t="s">
        <v>64</v>
      </c>
      <c r="B28" s="24" t="s">
        <v>65</v>
      </c>
      <c r="C28" s="24" t="s">
        <v>65</v>
      </c>
      <c r="D28" s="24" t="s">
        <v>66</v>
      </c>
      <c r="E28" s="5" t="s">
        <v>67</v>
      </c>
      <c r="F28" s="5" t="s">
        <v>34</v>
      </c>
      <c r="G28" s="18" t="s">
        <v>66</v>
      </c>
      <c r="H28" s="7" t="s">
        <v>68</v>
      </c>
      <c r="I28" s="8"/>
      <c r="J28" s="8"/>
      <c r="K28" s="8"/>
      <c r="L28" s="8"/>
      <c r="M28" s="8"/>
      <c r="N28" s="8"/>
    </row>
    <row r="29" spans="1:14" ht="43.2" x14ac:dyDescent="0.3">
      <c r="A29" s="9" t="s">
        <v>69</v>
      </c>
      <c r="B29" s="10">
        <v>37</v>
      </c>
      <c r="C29" s="10">
        <v>22</v>
      </c>
      <c r="D29" s="22">
        <f t="shared" ref="D29:D34" si="1">C29-B29</f>
        <v>-15</v>
      </c>
      <c r="E29" s="11" t="s">
        <v>70</v>
      </c>
      <c r="F29" s="11" t="s">
        <v>34</v>
      </c>
      <c r="G29" s="23">
        <f t="shared" ref="G29:G34" si="2">-D29</f>
        <v>15</v>
      </c>
      <c r="H29" s="13" t="s">
        <v>71</v>
      </c>
      <c r="I29" s="14"/>
      <c r="J29" s="14"/>
      <c r="K29" s="14"/>
      <c r="L29" s="14"/>
      <c r="M29" s="14"/>
      <c r="N29" s="14"/>
    </row>
    <row r="30" spans="1:14" ht="28.8" x14ac:dyDescent="0.3">
      <c r="A30" s="3" t="s">
        <v>72</v>
      </c>
      <c r="B30" s="4">
        <v>29.1</v>
      </c>
      <c r="C30" s="4">
        <v>10</v>
      </c>
      <c r="D30" s="21">
        <f t="shared" si="1"/>
        <v>-19.100000000000001</v>
      </c>
      <c r="E30" s="5" t="s">
        <v>70</v>
      </c>
      <c r="F30" s="5" t="s">
        <v>34</v>
      </c>
      <c r="G30" s="16">
        <f t="shared" si="2"/>
        <v>19.100000000000001</v>
      </c>
      <c r="H30" s="7" t="s">
        <v>73</v>
      </c>
      <c r="I30" s="8"/>
      <c r="J30" s="8"/>
      <c r="K30" s="8"/>
      <c r="L30" s="8"/>
      <c r="M30" s="8"/>
      <c r="N30" s="8"/>
    </row>
    <row r="31" spans="1:14" ht="28.8" x14ac:dyDescent="0.3">
      <c r="A31" s="9" t="s">
        <v>74</v>
      </c>
      <c r="B31" s="10">
        <v>12</v>
      </c>
      <c r="C31" s="10">
        <v>0</v>
      </c>
      <c r="D31" s="22">
        <f t="shared" si="1"/>
        <v>-12</v>
      </c>
      <c r="E31" s="11" t="s">
        <v>75</v>
      </c>
      <c r="F31" s="11" t="s">
        <v>34</v>
      </c>
      <c r="G31" s="23">
        <f t="shared" si="2"/>
        <v>12</v>
      </c>
      <c r="H31" s="13" t="s">
        <v>76</v>
      </c>
      <c r="I31" s="14"/>
      <c r="J31" s="14"/>
      <c r="K31" s="14"/>
      <c r="L31" s="14"/>
      <c r="M31" s="14"/>
      <c r="N31" s="14"/>
    </row>
    <row r="32" spans="1:14" ht="28.8" x14ac:dyDescent="0.3">
      <c r="A32" s="3" t="s">
        <v>77</v>
      </c>
      <c r="B32" s="4">
        <v>15</v>
      </c>
      <c r="C32" s="4">
        <v>0</v>
      </c>
      <c r="D32" s="21">
        <f t="shared" si="1"/>
        <v>-15</v>
      </c>
      <c r="E32" s="5" t="s">
        <v>75</v>
      </c>
      <c r="F32" s="5" t="s">
        <v>34</v>
      </c>
      <c r="G32" s="16">
        <f t="shared" si="2"/>
        <v>15</v>
      </c>
      <c r="H32" s="7" t="s">
        <v>76</v>
      </c>
      <c r="I32" s="8"/>
      <c r="J32" s="8"/>
      <c r="K32" s="8"/>
      <c r="L32" s="8"/>
      <c r="M32" s="8"/>
      <c r="N32" s="8"/>
    </row>
    <row r="33" spans="1:14" ht="28.8" x14ac:dyDescent="0.3">
      <c r="A33" s="9" t="s">
        <v>78</v>
      </c>
      <c r="B33" s="10">
        <v>50</v>
      </c>
      <c r="C33" s="10">
        <v>0</v>
      </c>
      <c r="D33" s="22">
        <f t="shared" si="1"/>
        <v>-50</v>
      </c>
      <c r="E33" s="11" t="s">
        <v>75</v>
      </c>
      <c r="F33" s="11" t="s">
        <v>34</v>
      </c>
      <c r="G33" s="23">
        <f t="shared" si="2"/>
        <v>50</v>
      </c>
      <c r="H33" s="13" t="s">
        <v>79</v>
      </c>
      <c r="I33" s="14"/>
      <c r="J33" s="14"/>
      <c r="K33" s="14"/>
      <c r="L33" s="14"/>
      <c r="M33" s="14"/>
      <c r="N33" s="14"/>
    </row>
    <row r="34" spans="1:14" x14ac:dyDescent="0.3">
      <c r="A34" s="3" t="s">
        <v>80</v>
      </c>
      <c r="B34" s="4">
        <v>0</v>
      </c>
      <c r="C34" s="4">
        <v>107.38</v>
      </c>
      <c r="D34" s="21">
        <f t="shared" si="1"/>
        <v>107.38</v>
      </c>
      <c r="E34" s="5" t="s">
        <v>81</v>
      </c>
      <c r="F34" s="5" t="s">
        <v>82</v>
      </c>
      <c r="G34" s="16">
        <f t="shared" si="2"/>
        <v>-107.38</v>
      </c>
      <c r="H34" s="7" t="s">
        <v>83</v>
      </c>
      <c r="I34" s="8"/>
      <c r="J34" s="8"/>
      <c r="K34" s="8"/>
      <c r="L34" s="8"/>
      <c r="M34" s="8"/>
      <c r="N34" s="8"/>
    </row>
    <row r="36" spans="1:14" x14ac:dyDescent="0.3">
      <c r="A36" s="67" t="s">
        <v>84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</row>
    <row r="37" spans="1:14" x14ac:dyDescent="0.3">
      <c r="A37" s="1" t="s">
        <v>85</v>
      </c>
      <c r="B37" s="1" t="s">
        <v>86</v>
      </c>
      <c r="C37" s="1" t="s">
        <v>87</v>
      </c>
      <c r="D37" s="1" t="s">
        <v>88</v>
      </c>
      <c r="E37" s="1" t="s">
        <v>89</v>
      </c>
      <c r="F37" s="1" t="s">
        <v>90</v>
      </c>
      <c r="G37" s="1" t="s">
        <v>91</v>
      </c>
      <c r="H37" s="2"/>
      <c r="I37" s="2"/>
      <c r="J37" s="2"/>
      <c r="K37" s="2"/>
      <c r="L37" s="2"/>
      <c r="M37" s="2"/>
      <c r="N37" s="2"/>
    </row>
    <row r="38" spans="1:14" x14ac:dyDescent="0.3">
      <c r="A38" s="15" t="s">
        <v>81</v>
      </c>
      <c r="B38" s="4">
        <v>4926.8599999999997</v>
      </c>
      <c r="C38" s="4">
        <v>3753.45</v>
      </c>
      <c r="D38" s="4">
        <v>900</v>
      </c>
      <c r="E38" s="25">
        <v>273.41000000000003</v>
      </c>
      <c r="F38" s="4">
        <v>0</v>
      </c>
      <c r="G38" s="7" t="s">
        <v>92</v>
      </c>
      <c r="H38" s="8"/>
      <c r="I38" s="8"/>
      <c r="J38" s="8"/>
      <c r="K38" s="8"/>
      <c r="L38" s="8"/>
      <c r="M38" s="8"/>
      <c r="N38" s="8"/>
    </row>
    <row r="39" spans="1:14" ht="28.8" x14ac:dyDescent="0.3">
      <c r="A39" s="9" t="s">
        <v>75</v>
      </c>
      <c r="B39" s="10">
        <v>4926.8599999999997</v>
      </c>
      <c r="C39" s="10">
        <v>3753.45</v>
      </c>
      <c r="D39" s="10">
        <v>900</v>
      </c>
      <c r="E39" s="25">
        <v>273.41000000000003</v>
      </c>
      <c r="F39" s="10">
        <v>0</v>
      </c>
      <c r="G39" s="13" t="s">
        <v>93</v>
      </c>
      <c r="H39" s="14"/>
      <c r="I39" s="14"/>
      <c r="J39" s="14"/>
      <c r="K39" s="14"/>
      <c r="L39" s="14"/>
      <c r="M39" s="14"/>
      <c r="N39" s="14"/>
    </row>
    <row r="40" spans="1:14" x14ac:dyDescent="0.3">
      <c r="A40" s="3" t="s">
        <v>60</v>
      </c>
      <c r="B40" s="4">
        <v>4926.8599999999997</v>
      </c>
      <c r="C40" s="4">
        <v>3716.43</v>
      </c>
      <c r="D40" s="4">
        <v>900</v>
      </c>
      <c r="E40" s="26">
        <v>310.43</v>
      </c>
      <c r="F40" s="27">
        <v>37.020000000000003</v>
      </c>
      <c r="G40" s="7" t="s">
        <v>94</v>
      </c>
      <c r="H40" s="8"/>
      <c r="I40" s="8"/>
      <c r="J40" s="8"/>
      <c r="K40" s="8"/>
      <c r="L40" s="8"/>
      <c r="M40" s="8"/>
      <c r="N40" s="8"/>
    </row>
    <row r="41" spans="1:14" x14ac:dyDescent="0.3">
      <c r="A41" s="9" t="s">
        <v>95</v>
      </c>
      <c r="B41" s="10">
        <v>4926.8599999999997</v>
      </c>
      <c r="C41" s="10">
        <v>3716.43</v>
      </c>
      <c r="D41" s="10">
        <v>900</v>
      </c>
      <c r="E41" s="26">
        <v>310.43</v>
      </c>
      <c r="F41" s="28">
        <v>37.020000000000003</v>
      </c>
      <c r="G41" s="13" t="s">
        <v>96</v>
      </c>
      <c r="H41" s="14"/>
      <c r="I41" s="14"/>
      <c r="J41" s="14"/>
      <c r="K41" s="14"/>
      <c r="L41" s="14"/>
      <c r="M41" s="14"/>
      <c r="N41" s="14"/>
    </row>
    <row r="42" spans="1:14" x14ac:dyDescent="0.3">
      <c r="A42" s="3" t="s">
        <v>67</v>
      </c>
      <c r="B42" s="4">
        <v>4926.8599999999997</v>
      </c>
      <c r="C42" s="4">
        <v>3706.43</v>
      </c>
      <c r="D42" s="4">
        <v>900</v>
      </c>
      <c r="E42" s="26">
        <v>320.43</v>
      </c>
      <c r="F42" s="27">
        <v>47.02</v>
      </c>
      <c r="G42" s="7" t="s">
        <v>97</v>
      </c>
      <c r="H42" s="8"/>
      <c r="I42" s="8"/>
      <c r="J42" s="8"/>
      <c r="K42" s="8"/>
      <c r="L42" s="8"/>
      <c r="M42" s="8"/>
      <c r="N42" s="8"/>
    </row>
    <row r="43" spans="1:14" x14ac:dyDescent="0.3">
      <c r="A43" s="9" t="s">
        <v>70</v>
      </c>
      <c r="B43" s="10">
        <v>4926.8599999999997</v>
      </c>
      <c r="C43" s="10">
        <v>3672.33</v>
      </c>
      <c r="D43" s="10">
        <v>900</v>
      </c>
      <c r="E43" s="26">
        <v>354.53</v>
      </c>
      <c r="F43" s="28">
        <v>81.12</v>
      </c>
      <c r="G43" s="13" t="s">
        <v>98</v>
      </c>
      <c r="H43" s="14"/>
      <c r="I43" s="14"/>
      <c r="J43" s="14"/>
      <c r="K43" s="14"/>
      <c r="L43" s="14"/>
      <c r="M43" s="14"/>
      <c r="N43" s="14"/>
    </row>
    <row r="44" spans="1:14" x14ac:dyDescent="0.3">
      <c r="A44" s="3" t="s">
        <v>99</v>
      </c>
      <c r="B44" s="4">
        <v>4926.8599999999997</v>
      </c>
      <c r="C44" s="4">
        <v>3672.33</v>
      </c>
      <c r="D44" s="4">
        <v>900</v>
      </c>
      <c r="E44" s="26">
        <v>354.53</v>
      </c>
      <c r="F44" s="27">
        <v>81.12</v>
      </c>
      <c r="G44" s="7" t="s">
        <v>100</v>
      </c>
      <c r="H44" s="8"/>
      <c r="I44" s="8"/>
      <c r="J44" s="8"/>
      <c r="K44" s="8"/>
      <c r="L44" s="8"/>
      <c r="M44" s="8"/>
      <c r="N44" s="8"/>
    </row>
    <row r="45" spans="1:14" x14ac:dyDescent="0.3">
      <c r="A45" s="9" t="s">
        <v>101</v>
      </c>
      <c r="B45" s="10">
        <v>4926.8599999999997</v>
      </c>
      <c r="C45" s="10">
        <v>3749.33</v>
      </c>
      <c r="D45" s="10">
        <v>900</v>
      </c>
      <c r="E45" s="25">
        <v>277.52999999999997</v>
      </c>
      <c r="F45" s="28">
        <v>4.12</v>
      </c>
      <c r="G45" s="13" t="s">
        <v>102</v>
      </c>
      <c r="H45" s="14"/>
      <c r="I45" s="14"/>
      <c r="J45" s="14"/>
      <c r="K45" s="14"/>
      <c r="L45" s="14"/>
      <c r="M45" s="14"/>
      <c r="N45" s="14"/>
    </row>
    <row r="46" spans="1:14" x14ac:dyDescent="0.3">
      <c r="A46" s="3" t="s">
        <v>103</v>
      </c>
      <c r="B46" s="4">
        <v>4926.8599999999997</v>
      </c>
      <c r="C46" s="4">
        <v>3749.33</v>
      </c>
      <c r="D46" s="4">
        <v>900</v>
      </c>
      <c r="E46" s="25">
        <v>277.52999999999997</v>
      </c>
      <c r="F46" s="27">
        <v>4.12</v>
      </c>
      <c r="G46" s="7"/>
      <c r="H46" s="8"/>
      <c r="I46" s="8"/>
      <c r="J46" s="8"/>
      <c r="K46" s="8"/>
      <c r="L46" s="8"/>
      <c r="M46" s="8"/>
      <c r="N46" s="8"/>
    </row>
    <row r="47" spans="1:14" x14ac:dyDescent="0.3">
      <c r="A47" s="9" t="s">
        <v>104</v>
      </c>
      <c r="B47" s="10">
        <v>4926.8599999999997</v>
      </c>
      <c r="C47" s="10">
        <v>3749.33</v>
      </c>
      <c r="D47" s="10">
        <v>830</v>
      </c>
      <c r="E47" s="26">
        <v>347.53</v>
      </c>
      <c r="F47" s="28">
        <v>74.12</v>
      </c>
      <c r="G47" s="13" t="s">
        <v>105</v>
      </c>
      <c r="H47" s="14"/>
      <c r="I47" s="14"/>
      <c r="J47" s="14"/>
      <c r="K47" s="14"/>
      <c r="L47" s="14"/>
      <c r="M47" s="14"/>
      <c r="N47" s="14"/>
    </row>
    <row r="48" spans="1:14" ht="28.8" x14ac:dyDescent="0.3">
      <c r="A48" s="3" t="s">
        <v>106</v>
      </c>
      <c r="B48" s="4">
        <v>4926.8599999999997</v>
      </c>
      <c r="C48" s="4">
        <v>3531.11</v>
      </c>
      <c r="D48" s="4">
        <v>830</v>
      </c>
      <c r="E48" s="29">
        <v>565.75</v>
      </c>
      <c r="F48" s="27">
        <v>292.33999999999997</v>
      </c>
      <c r="G48" s="7" t="s">
        <v>107</v>
      </c>
      <c r="H48" s="8"/>
      <c r="I48" s="8"/>
      <c r="J48" s="8"/>
      <c r="K48" s="8"/>
      <c r="L48" s="8"/>
      <c r="M48" s="8"/>
      <c r="N48" s="8"/>
    </row>
    <row r="49" spans="1:14" x14ac:dyDescent="0.3">
      <c r="A49" s="9" t="s">
        <v>108</v>
      </c>
      <c r="B49" s="10">
        <v>4926.8599999999997</v>
      </c>
      <c r="C49" s="10">
        <v>3531.11</v>
      </c>
      <c r="D49" s="10">
        <v>830</v>
      </c>
      <c r="E49" s="29">
        <v>565.75</v>
      </c>
      <c r="F49" s="28">
        <v>292.33999999999997</v>
      </c>
      <c r="G49" s="13"/>
      <c r="H49" s="14"/>
      <c r="I49" s="14"/>
      <c r="J49" s="14"/>
      <c r="K49" s="14"/>
      <c r="L49" s="14"/>
      <c r="M49" s="14"/>
      <c r="N49" s="14"/>
    </row>
    <row r="50" spans="1:14" x14ac:dyDescent="0.3">
      <c r="A50" s="3" t="s">
        <v>109</v>
      </c>
      <c r="B50" s="4">
        <v>4926.8599999999997</v>
      </c>
      <c r="C50" s="4">
        <v>3393.61</v>
      </c>
      <c r="D50" s="4">
        <v>830</v>
      </c>
      <c r="E50" s="29">
        <v>703.25</v>
      </c>
      <c r="F50" s="27">
        <v>429.84</v>
      </c>
      <c r="G50" s="7" t="s">
        <v>110</v>
      </c>
      <c r="H50" s="8"/>
      <c r="I50" s="8"/>
      <c r="J50" s="8"/>
      <c r="K50" s="8"/>
      <c r="L50" s="8"/>
      <c r="M50" s="8"/>
      <c r="N50" s="8"/>
    </row>
    <row r="51" spans="1:14" x14ac:dyDescent="0.3">
      <c r="A51" s="9" t="s">
        <v>111</v>
      </c>
      <c r="B51" s="10">
        <v>4926.8599999999997</v>
      </c>
      <c r="C51" s="10">
        <v>3347.82</v>
      </c>
      <c r="D51" s="10">
        <v>830</v>
      </c>
      <c r="E51" s="29">
        <v>749.04</v>
      </c>
      <c r="F51" s="28">
        <v>475.63</v>
      </c>
      <c r="G51" s="13" t="s">
        <v>112</v>
      </c>
      <c r="H51" s="14"/>
      <c r="I51" s="14"/>
      <c r="J51" s="14"/>
      <c r="K51" s="14"/>
      <c r="L51" s="14"/>
      <c r="M51" s="14"/>
      <c r="N51" s="14"/>
    </row>
  </sheetData>
  <mergeCells count="5">
    <mergeCell ref="A3:N3"/>
    <mergeCell ref="A24:N24"/>
    <mergeCell ref="A10:N10"/>
    <mergeCell ref="A36:N36"/>
    <mergeCell ref="A1:N1"/>
  </mergeCells>
  <conditionalFormatting sqref="F12:F21">
    <cfRule type="cellIs" dxfId="2" priority="1" stopIfTrue="1" operator="equal">
      <formula>"Y"</formula>
    </cfRule>
  </conditionalFormatting>
  <conditionalFormatting sqref="F26:F34">
    <cfRule type="cellIs" dxfId="1" priority="2" stopIfTrue="1" operator="equal">
      <formula>"Y"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12" customWidth="1"/>
    <col min="4" max="4" width="22" customWidth="1"/>
    <col min="5" max="5" width="20" customWidth="1"/>
    <col min="6" max="7" width="40" customWidth="1"/>
    <col min="8" max="8" width="9" customWidth="1"/>
    <col min="9" max="11" width="14" customWidth="1"/>
    <col min="12" max="12" width="25" customWidth="1"/>
  </cols>
  <sheetData>
    <row r="1" spans="1:13" ht="30" customHeight="1" x14ac:dyDescent="0.3">
      <c r="A1" s="70" t="s">
        <v>113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3" spans="1:13" x14ac:dyDescent="0.3">
      <c r="A3" s="69" t="s">
        <v>114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ht="28.8" x14ac:dyDescent="0.3">
      <c r="A4" s="1" t="s">
        <v>115</v>
      </c>
      <c r="B4" s="1" t="s">
        <v>4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6</v>
      </c>
      <c r="H4" s="1" t="s">
        <v>120</v>
      </c>
      <c r="I4" s="1" t="s">
        <v>121</v>
      </c>
      <c r="J4" s="1" t="s">
        <v>31</v>
      </c>
      <c r="K4" s="1" t="s">
        <v>122</v>
      </c>
      <c r="L4" s="1" t="s">
        <v>9</v>
      </c>
      <c r="M4" s="2"/>
    </row>
    <row r="5" spans="1:13" ht="28.8" x14ac:dyDescent="0.3">
      <c r="A5" s="15" t="s">
        <v>123</v>
      </c>
      <c r="B5" s="4">
        <v>487.35</v>
      </c>
      <c r="C5" s="30">
        <v>5.9</v>
      </c>
      <c r="D5" s="5" t="s">
        <v>124</v>
      </c>
      <c r="E5" s="5">
        <v>1</v>
      </c>
      <c r="F5" s="5">
        <v>64</v>
      </c>
      <c r="G5" s="5" t="s">
        <v>125</v>
      </c>
      <c r="H5" s="5">
        <v>20</v>
      </c>
      <c r="I5" s="5">
        <v>43</v>
      </c>
      <c r="J5" s="4">
        <v>20956.05</v>
      </c>
      <c r="K5" s="4">
        <v>21038.38</v>
      </c>
      <c r="L5" s="7" t="s">
        <v>126</v>
      </c>
      <c r="M5" s="8"/>
    </row>
    <row r="6" spans="1:13" ht="28.8" x14ac:dyDescent="0.3">
      <c r="A6" s="31" t="s">
        <v>127</v>
      </c>
      <c r="B6" s="10">
        <v>270.97000000000003</v>
      </c>
      <c r="C6" s="30">
        <v>5.4</v>
      </c>
      <c r="D6" s="11" t="s">
        <v>128</v>
      </c>
      <c r="E6" s="11">
        <v>17</v>
      </c>
      <c r="F6" s="11">
        <v>84</v>
      </c>
      <c r="G6" s="11" t="s">
        <v>129</v>
      </c>
      <c r="H6" s="11">
        <v>34</v>
      </c>
      <c r="I6" s="11">
        <v>49</v>
      </c>
      <c r="J6" s="10">
        <v>13277.53</v>
      </c>
      <c r="K6" s="10">
        <v>13300</v>
      </c>
      <c r="L6" s="13" t="s">
        <v>130</v>
      </c>
      <c r="M6" s="14"/>
    </row>
    <row r="7" spans="1:13" ht="28.8" x14ac:dyDescent="0.3">
      <c r="A7" s="15" t="s">
        <v>14</v>
      </c>
      <c r="B7" s="4">
        <v>48.22</v>
      </c>
      <c r="C7" s="32">
        <v>0</v>
      </c>
      <c r="D7" s="5" t="s">
        <v>131</v>
      </c>
      <c r="E7" s="5">
        <v>1</v>
      </c>
      <c r="F7" s="5">
        <v>21</v>
      </c>
      <c r="G7" s="5" t="s">
        <v>11</v>
      </c>
      <c r="H7" s="5">
        <v>9</v>
      </c>
      <c r="I7" s="5">
        <v>11</v>
      </c>
      <c r="J7" s="4">
        <v>530.41999999999996</v>
      </c>
      <c r="K7" s="5" t="s">
        <v>132</v>
      </c>
      <c r="L7" s="7" t="s">
        <v>133</v>
      </c>
      <c r="M7" s="8"/>
    </row>
    <row r="8" spans="1:13" ht="28.8" x14ac:dyDescent="0.3">
      <c r="A8" s="31" t="s">
        <v>134</v>
      </c>
      <c r="B8" s="10">
        <v>137.5</v>
      </c>
      <c r="C8" s="33">
        <v>0</v>
      </c>
      <c r="D8" s="11" t="s">
        <v>135</v>
      </c>
      <c r="E8" s="11">
        <v>28</v>
      </c>
      <c r="F8" s="11">
        <v>25</v>
      </c>
      <c r="G8" s="11" t="s">
        <v>21</v>
      </c>
      <c r="H8" s="11">
        <v>9</v>
      </c>
      <c r="I8" s="11">
        <v>15</v>
      </c>
      <c r="J8" s="10">
        <v>2062.5</v>
      </c>
      <c r="K8" s="11" t="s">
        <v>132</v>
      </c>
      <c r="L8" s="13" t="s">
        <v>136</v>
      </c>
      <c r="M8" s="14"/>
    </row>
    <row r="9" spans="1:13" ht="43.2" x14ac:dyDescent="0.3">
      <c r="A9" s="15" t="s">
        <v>35</v>
      </c>
      <c r="B9" s="4">
        <v>170</v>
      </c>
      <c r="C9" s="32">
        <v>0</v>
      </c>
      <c r="D9" s="5" t="s">
        <v>135</v>
      </c>
      <c r="E9" s="5">
        <v>1</v>
      </c>
      <c r="F9" s="5">
        <v>20</v>
      </c>
      <c r="G9" s="5" t="s">
        <v>11</v>
      </c>
      <c r="H9" s="5">
        <v>9</v>
      </c>
      <c r="I9" s="5">
        <v>10</v>
      </c>
      <c r="J9" s="4">
        <v>2704.04</v>
      </c>
      <c r="K9" s="5" t="s">
        <v>132</v>
      </c>
      <c r="L9" s="7" t="s">
        <v>137</v>
      </c>
      <c r="M9" s="8"/>
    </row>
    <row r="10" spans="1:13" ht="28.8" x14ac:dyDescent="0.3">
      <c r="A10" s="31" t="s">
        <v>40</v>
      </c>
      <c r="B10" s="10">
        <v>45.79</v>
      </c>
      <c r="C10" s="33">
        <v>0</v>
      </c>
      <c r="D10" s="11" t="s">
        <v>138</v>
      </c>
      <c r="E10" s="11">
        <v>1</v>
      </c>
      <c r="F10" s="11">
        <v>24</v>
      </c>
      <c r="G10" s="11" t="s">
        <v>18</v>
      </c>
      <c r="H10" s="11">
        <v>4</v>
      </c>
      <c r="I10" s="11">
        <v>19</v>
      </c>
      <c r="J10" s="10">
        <v>870.01</v>
      </c>
      <c r="K10" s="11" t="s">
        <v>132</v>
      </c>
      <c r="L10" s="13" t="s">
        <v>139</v>
      </c>
      <c r="M10" s="14"/>
    </row>
    <row r="11" spans="1:13" x14ac:dyDescent="0.3">
      <c r="A11" s="34" t="s">
        <v>140</v>
      </c>
      <c r="B11" s="35">
        <f>SUM(B5:B10)</f>
        <v>1159.83</v>
      </c>
      <c r="C11" s="2"/>
      <c r="D11" s="2"/>
      <c r="E11" s="2"/>
      <c r="F11" s="2"/>
      <c r="G11" s="2"/>
      <c r="H11" s="2"/>
      <c r="I11" s="2"/>
      <c r="J11" s="35">
        <f>SUM(J5:J10)</f>
        <v>40400.550000000003</v>
      </c>
      <c r="K11" s="2"/>
      <c r="L11" s="2"/>
    </row>
    <row r="13" spans="1:13" x14ac:dyDescent="0.3">
      <c r="A13" s="67" t="s">
        <v>141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1" t="s">
        <v>142</v>
      </c>
      <c r="B14" s="1" t="s">
        <v>143</v>
      </c>
      <c r="C14" s="1" t="s">
        <v>28</v>
      </c>
      <c r="D14" s="1" t="s">
        <v>144</v>
      </c>
      <c r="E14" s="1" t="s">
        <v>30</v>
      </c>
      <c r="F14" s="1" t="s">
        <v>31</v>
      </c>
      <c r="G14" s="1" t="s">
        <v>9</v>
      </c>
      <c r="H14" s="2"/>
      <c r="I14" s="2"/>
      <c r="J14" s="2"/>
      <c r="K14" s="2"/>
      <c r="L14" s="2"/>
      <c r="M14" s="2"/>
    </row>
    <row r="15" spans="1:13" x14ac:dyDescent="0.3">
      <c r="A15" s="3" t="s">
        <v>32</v>
      </c>
      <c r="B15" s="4">
        <v>550</v>
      </c>
      <c r="C15" s="5" t="s">
        <v>33</v>
      </c>
      <c r="D15" s="5" t="s">
        <v>34</v>
      </c>
      <c r="E15" s="3" t="s">
        <v>10</v>
      </c>
      <c r="F15" s="4">
        <f t="shared" ref="F15:F23" si="0">IF(D15="Y",0,B15)</f>
        <v>550</v>
      </c>
      <c r="G15" s="7" t="s">
        <v>145</v>
      </c>
      <c r="H15" s="8"/>
      <c r="I15" s="8"/>
      <c r="J15" s="8"/>
      <c r="K15" s="8"/>
      <c r="L15" s="8"/>
      <c r="M15" s="8"/>
    </row>
    <row r="16" spans="1:13" ht="28.8" x14ac:dyDescent="0.3">
      <c r="A16" s="9" t="s">
        <v>146</v>
      </c>
      <c r="B16" s="10">
        <v>500</v>
      </c>
      <c r="C16" s="11" t="s">
        <v>33</v>
      </c>
      <c r="D16" s="11" t="s">
        <v>34</v>
      </c>
      <c r="E16" s="9" t="s">
        <v>10</v>
      </c>
      <c r="F16" s="10">
        <f t="shared" si="0"/>
        <v>500</v>
      </c>
      <c r="G16" s="13" t="s">
        <v>147</v>
      </c>
      <c r="H16" s="14"/>
      <c r="I16" s="14"/>
      <c r="J16" s="14"/>
      <c r="K16" s="14"/>
      <c r="L16" s="14"/>
      <c r="M16" s="14"/>
    </row>
    <row r="17" spans="1:13" x14ac:dyDescent="0.3">
      <c r="A17" s="3" t="s">
        <v>46</v>
      </c>
      <c r="B17" s="4">
        <v>175</v>
      </c>
      <c r="C17" s="5" t="s">
        <v>42</v>
      </c>
      <c r="D17" s="5" t="s">
        <v>34</v>
      </c>
      <c r="E17" s="3" t="s">
        <v>44</v>
      </c>
      <c r="F17" s="4">
        <f t="shared" si="0"/>
        <v>175</v>
      </c>
      <c r="G17" s="7"/>
      <c r="H17" s="8"/>
      <c r="I17" s="8"/>
      <c r="J17" s="8"/>
      <c r="K17" s="8"/>
      <c r="L17" s="8"/>
      <c r="M17" s="8"/>
    </row>
    <row r="18" spans="1:13" x14ac:dyDescent="0.3">
      <c r="A18" s="9" t="s">
        <v>45</v>
      </c>
      <c r="B18" s="10">
        <v>300</v>
      </c>
      <c r="C18" s="11" t="s">
        <v>42</v>
      </c>
      <c r="D18" s="11" t="s">
        <v>34</v>
      </c>
      <c r="E18" s="9" t="s">
        <v>44</v>
      </c>
      <c r="F18" s="10">
        <f t="shared" si="0"/>
        <v>300</v>
      </c>
      <c r="G18" s="13"/>
      <c r="H18" s="14"/>
      <c r="I18" s="14"/>
      <c r="J18" s="14"/>
      <c r="K18" s="14"/>
      <c r="L18" s="14"/>
      <c r="M18" s="14"/>
    </row>
    <row r="19" spans="1:13" x14ac:dyDescent="0.3">
      <c r="A19" s="3" t="s">
        <v>47</v>
      </c>
      <c r="B19" s="4">
        <v>50</v>
      </c>
      <c r="C19" s="5" t="s">
        <v>48</v>
      </c>
      <c r="D19" s="5" t="s">
        <v>34</v>
      </c>
      <c r="E19" s="3" t="s">
        <v>44</v>
      </c>
      <c r="F19" s="4">
        <f t="shared" si="0"/>
        <v>50</v>
      </c>
      <c r="G19" s="7"/>
      <c r="H19" s="8"/>
      <c r="I19" s="8"/>
      <c r="J19" s="8"/>
      <c r="K19" s="8"/>
      <c r="L19" s="8"/>
      <c r="M19" s="8"/>
    </row>
    <row r="20" spans="1:13" x14ac:dyDescent="0.3">
      <c r="A20" s="9" t="s">
        <v>41</v>
      </c>
      <c r="B20" s="10">
        <v>180</v>
      </c>
      <c r="C20" s="11" t="s">
        <v>42</v>
      </c>
      <c r="D20" s="11" t="s">
        <v>34</v>
      </c>
      <c r="E20" s="9" t="s">
        <v>40</v>
      </c>
      <c r="F20" s="10">
        <f t="shared" si="0"/>
        <v>180</v>
      </c>
      <c r="G20" s="13" t="s">
        <v>148</v>
      </c>
      <c r="H20" s="14"/>
      <c r="I20" s="14"/>
      <c r="J20" s="14"/>
      <c r="K20" s="14"/>
      <c r="L20" s="14"/>
      <c r="M20" s="14"/>
    </row>
    <row r="21" spans="1:13" x14ac:dyDescent="0.3">
      <c r="A21" s="3" t="s">
        <v>149</v>
      </c>
      <c r="B21" s="4">
        <v>75</v>
      </c>
      <c r="C21" s="5" t="s">
        <v>39</v>
      </c>
      <c r="D21" s="5" t="s">
        <v>34</v>
      </c>
      <c r="E21" s="3" t="s">
        <v>44</v>
      </c>
      <c r="F21" s="4">
        <f t="shared" si="0"/>
        <v>75</v>
      </c>
      <c r="G21" s="7" t="s">
        <v>150</v>
      </c>
      <c r="H21" s="8"/>
      <c r="I21" s="8"/>
      <c r="J21" s="8"/>
      <c r="K21" s="8"/>
      <c r="L21" s="8"/>
      <c r="M21" s="8"/>
    </row>
    <row r="22" spans="1:13" x14ac:dyDescent="0.3">
      <c r="A22" s="9" t="s">
        <v>151</v>
      </c>
      <c r="B22" s="10">
        <v>50</v>
      </c>
      <c r="C22" s="11" t="s">
        <v>152</v>
      </c>
      <c r="D22" s="11" t="s">
        <v>34</v>
      </c>
      <c r="E22" s="9" t="s">
        <v>44</v>
      </c>
      <c r="F22" s="10">
        <f t="shared" si="0"/>
        <v>50</v>
      </c>
      <c r="G22" s="13" t="s">
        <v>153</v>
      </c>
      <c r="H22" s="14"/>
      <c r="I22" s="14"/>
      <c r="J22" s="14"/>
      <c r="K22" s="14"/>
      <c r="L22" s="14"/>
      <c r="M22" s="14"/>
    </row>
    <row r="23" spans="1:13" x14ac:dyDescent="0.3">
      <c r="A23" s="3" t="s">
        <v>154</v>
      </c>
      <c r="B23" s="4">
        <v>25</v>
      </c>
      <c r="C23" s="5" t="s">
        <v>39</v>
      </c>
      <c r="D23" s="5" t="s">
        <v>34</v>
      </c>
      <c r="E23" s="3" t="s">
        <v>44</v>
      </c>
      <c r="F23" s="4">
        <f t="shared" si="0"/>
        <v>25</v>
      </c>
      <c r="G23" s="7" t="s">
        <v>155</v>
      </c>
      <c r="H23" s="8"/>
      <c r="I23" s="8"/>
      <c r="J23" s="8"/>
      <c r="K23" s="8"/>
      <c r="L23" s="8"/>
      <c r="M23" s="8"/>
    </row>
    <row r="24" spans="1:13" x14ac:dyDescent="0.3">
      <c r="A24" s="36"/>
      <c r="B24" s="36"/>
      <c r="C24" s="36"/>
      <c r="D24" s="36"/>
      <c r="E24" s="37" t="s">
        <v>156</v>
      </c>
      <c r="F24" s="35">
        <f>SUM(F15:F23)</f>
        <v>1905</v>
      </c>
    </row>
    <row r="26" spans="1:13" x14ac:dyDescent="0.3">
      <c r="A26" s="69" t="s">
        <v>157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</row>
    <row r="27" spans="1:13" x14ac:dyDescent="0.3">
      <c r="A27" s="1" t="s">
        <v>24</v>
      </c>
      <c r="B27" s="1" t="s">
        <v>4</v>
      </c>
      <c r="C27" s="1" t="s">
        <v>158</v>
      </c>
      <c r="D27" s="1" t="s">
        <v>159</v>
      </c>
      <c r="E27" s="1" t="s">
        <v>160</v>
      </c>
      <c r="F27" s="1" t="s">
        <v>9</v>
      </c>
      <c r="G27" s="2"/>
      <c r="H27" s="2"/>
      <c r="I27" s="2"/>
      <c r="J27" s="2"/>
      <c r="K27" s="2"/>
      <c r="L27" s="2"/>
      <c r="M27" s="2"/>
    </row>
    <row r="28" spans="1:13" x14ac:dyDescent="0.3">
      <c r="A28" s="9" t="s">
        <v>161</v>
      </c>
      <c r="B28" s="10">
        <v>70</v>
      </c>
      <c r="C28" s="11" t="s">
        <v>48</v>
      </c>
      <c r="D28" s="11">
        <v>10</v>
      </c>
      <c r="E28" s="10">
        <f>B28*D28</f>
        <v>700</v>
      </c>
      <c r="F28" s="13" t="s">
        <v>162</v>
      </c>
      <c r="G28" s="14"/>
      <c r="H28" s="14"/>
      <c r="I28" s="14"/>
      <c r="J28" s="14"/>
      <c r="K28" s="14"/>
      <c r="L28" s="14"/>
      <c r="M28" s="14"/>
    </row>
    <row r="30" spans="1:13" x14ac:dyDescent="0.3">
      <c r="A30" s="67" t="s">
        <v>163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</row>
    <row r="31" spans="1:13" x14ac:dyDescent="0.3">
      <c r="A31" s="1" t="s">
        <v>2</v>
      </c>
      <c r="B31" s="1" t="s">
        <v>164</v>
      </c>
      <c r="C31" s="1" t="s">
        <v>165</v>
      </c>
      <c r="D31" s="1" t="s">
        <v>166</v>
      </c>
      <c r="E31" s="1" t="s">
        <v>167</v>
      </c>
      <c r="F31" s="1" t="s">
        <v>9</v>
      </c>
      <c r="G31" s="2"/>
      <c r="H31" s="2"/>
      <c r="I31" s="2"/>
      <c r="J31" s="2"/>
      <c r="K31" s="2"/>
      <c r="L31" s="2"/>
      <c r="M31" s="2"/>
    </row>
    <row r="32" spans="1:13" ht="28.8" x14ac:dyDescent="0.3">
      <c r="A32" s="3" t="s">
        <v>10</v>
      </c>
      <c r="B32" s="4">
        <v>170</v>
      </c>
      <c r="C32" s="5" t="s">
        <v>11</v>
      </c>
      <c r="D32" s="3" t="s">
        <v>168</v>
      </c>
      <c r="E32" s="29">
        <v>170</v>
      </c>
      <c r="F32" s="7" t="s">
        <v>169</v>
      </c>
      <c r="G32" s="8"/>
      <c r="H32" s="8"/>
      <c r="I32" s="8"/>
      <c r="J32" s="8"/>
      <c r="K32" s="8"/>
      <c r="L32" s="8"/>
      <c r="M32" s="8"/>
    </row>
    <row r="33" spans="1:13" ht="28.8" x14ac:dyDescent="0.3">
      <c r="A33" s="9" t="s">
        <v>14</v>
      </c>
      <c r="B33" s="10">
        <v>48.22</v>
      </c>
      <c r="C33" s="11" t="s">
        <v>11</v>
      </c>
      <c r="D33" s="9" t="s">
        <v>168</v>
      </c>
      <c r="E33" s="29">
        <v>218.22</v>
      </c>
      <c r="F33" s="13" t="s">
        <v>169</v>
      </c>
      <c r="G33" s="14"/>
      <c r="H33" s="14"/>
      <c r="I33" s="14"/>
      <c r="J33" s="14"/>
      <c r="K33" s="14"/>
      <c r="L33" s="14"/>
      <c r="M33" s="14"/>
    </row>
    <row r="34" spans="1:13" x14ac:dyDescent="0.3">
      <c r="A34" s="3" t="s">
        <v>134</v>
      </c>
      <c r="B34" s="4">
        <v>137.5</v>
      </c>
      <c r="C34" s="5" t="s">
        <v>21</v>
      </c>
      <c r="D34" s="7" t="s">
        <v>170</v>
      </c>
      <c r="E34" s="38" t="s">
        <v>171</v>
      </c>
      <c r="F34" s="7" t="s">
        <v>172</v>
      </c>
      <c r="G34" s="8"/>
      <c r="H34" s="8"/>
      <c r="I34" s="8"/>
      <c r="J34" s="8"/>
      <c r="K34" s="8"/>
      <c r="L34" s="8"/>
      <c r="M34" s="8"/>
    </row>
    <row r="35" spans="1:13" ht="28.8" x14ac:dyDescent="0.3">
      <c r="A35" s="9" t="s">
        <v>40</v>
      </c>
      <c r="B35" s="10">
        <v>45.79</v>
      </c>
      <c r="C35" s="11" t="s">
        <v>18</v>
      </c>
      <c r="D35" s="9" t="s">
        <v>168</v>
      </c>
      <c r="E35" s="29">
        <v>264.01</v>
      </c>
      <c r="F35" s="13" t="s">
        <v>169</v>
      </c>
      <c r="G35" s="14"/>
      <c r="H35" s="14"/>
      <c r="I35" s="14"/>
      <c r="J35" s="14"/>
      <c r="K35" s="14"/>
      <c r="L35" s="14"/>
      <c r="M35" s="14"/>
    </row>
  </sheetData>
  <mergeCells count="5">
    <mergeCell ref="A13:M13"/>
    <mergeCell ref="A1:M1"/>
    <mergeCell ref="A3:M3"/>
    <mergeCell ref="A26:M26"/>
    <mergeCell ref="A30:M30"/>
  </mergeCells>
  <conditionalFormatting sqref="D15:D23">
    <cfRule type="cellIs" dxfId="0" priority="1" stopIfTrue="1" operator="equal">
      <formula>"Y"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14" customWidth="1"/>
    <col min="3" max="14" width="10" customWidth="1"/>
  </cols>
  <sheetData>
    <row r="1" spans="1:14" ht="30" customHeight="1" x14ac:dyDescent="0.3">
      <c r="A1" s="70" t="s">
        <v>173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3" spans="1:14" ht="19.95" customHeight="1" x14ac:dyDescent="0.3">
      <c r="A3" s="1" t="s">
        <v>174</v>
      </c>
      <c r="B3" s="1" t="s">
        <v>175</v>
      </c>
      <c r="C3" s="39" t="s">
        <v>176</v>
      </c>
      <c r="D3" s="39" t="s">
        <v>177</v>
      </c>
      <c r="E3" s="39" t="s">
        <v>178</v>
      </c>
      <c r="F3" s="39" t="s">
        <v>179</v>
      </c>
      <c r="G3" s="39" t="s">
        <v>180</v>
      </c>
      <c r="H3" s="39" t="s">
        <v>181</v>
      </c>
      <c r="I3" s="39" t="s">
        <v>182</v>
      </c>
      <c r="J3" s="39" t="s">
        <v>183</v>
      </c>
      <c r="K3" s="39" t="s">
        <v>184</v>
      </c>
      <c r="L3" s="39" t="s">
        <v>185</v>
      </c>
      <c r="M3" s="39" t="s">
        <v>186</v>
      </c>
      <c r="N3" s="39" t="s">
        <v>187</v>
      </c>
    </row>
    <row r="4" spans="1:14" x14ac:dyDescent="0.3">
      <c r="A4" s="40" t="s">
        <v>188</v>
      </c>
      <c r="C4" s="40" t="s">
        <v>189</v>
      </c>
    </row>
    <row r="6" spans="1:14" x14ac:dyDescent="0.3">
      <c r="A6" s="3" t="s">
        <v>190</v>
      </c>
      <c r="B6" s="4">
        <v>23</v>
      </c>
      <c r="C6" s="18"/>
      <c r="D6" s="18"/>
      <c r="E6" s="18"/>
      <c r="F6" s="18"/>
      <c r="G6" s="18"/>
      <c r="H6" s="18"/>
      <c r="I6" s="4">
        <v>230</v>
      </c>
      <c r="J6" s="18"/>
      <c r="K6" s="18"/>
      <c r="L6" s="18"/>
      <c r="M6" s="18"/>
      <c r="N6" s="18"/>
    </row>
    <row r="7" spans="1:14" x14ac:dyDescent="0.3">
      <c r="A7" s="9" t="s">
        <v>191</v>
      </c>
      <c r="B7" s="10">
        <v>250</v>
      </c>
      <c r="C7" s="10">
        <v>261</v>
      </c>
      <c r="D7" s="10">
        <v>124</v>
      </c>
      <c r="E7" s="10">
        <v>100</v>
      </c>
      <c r="F7" s="10">
        <v>125</v>
      </c>
      <c r="G7" s="10">
        <v>60</v>
      </c>
      <c r="H7" s="10">
        <v>120</v>
      </c>
      <c r="I7" s="10">
        <v>20</v>
      </c>
      <c r="J7" s="10">
        <v>70</v>
      </c>
      <c r="K7" s="10">
        <v>150</v>
      </c>
      <c r="L7" s="10">
        <v>75</v>
      </c>
      <c r="M7" s="10">
        <v>1300</v>
      </c>
      <c r="N7" s="10">
        <v>140</v>
      </c>
    </row>
    <row r="8" spans="1:14" x14ac:dyDescent="0.3">
      <c r="A8" s="3" t="s">
        <v>192</v>
      </c>
      <c r="B8" s="41" t="s">
        <v>65</v>
      </c>
      <c r="C8" s="4">
        <v>90</v>
      </c>
      <c r="D8" s="18"/>
      <c r="E8" s="4">
        <v>425</v>
      </c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3">
      <c r="A9" s="9" t="s">
        <v>193</v>
      </c>
      <c r="B9" s="42" t="s">
        <v>65</v>
      </c>
      <c r="C9" s="10">
        <v>202</v>
      </c>
      <c r="D9" s="17"/>
      <c r="E9" s="17"/>
      <c r="F9" s="17"/>
      <c r="G9" s="17"/>
      <c r="H9" s="17"/>
      <c r="I9" s="17"/>
      <c r="J9" s="17"/>
      <c r="K9" s="10">
        <v>4821</v>
      </c>
      <c r="L9" s="17"/>
      <c r="M9" s="17"/>
      <c r="N9" s="17"/>
    </row>
    <row r="10" spans="1:14" x14ac:dyDescent="0.3">
      <c r="A10" s="3" t="s">
        <v>194</v>
      </c>
      <c r="B10" s="41" t="s">
        <v>65</v>
      </c>
      <c r="C10" s="18"/>
      <c r="D10" s="18"/>
      <c r="E10" s="18"/>
      <c r="F10" s="4">
        <v>1283</v>
      </c>
      <c r="G10" s="18"/>
      <c r="H10" s="18"/>
      <c r="I10" s="18"/>
      <c r="J10" s="18"/>
      <c r="K10" s="18"/>
      <c r="L10" s="18"/>
      <c r="M10" s="18"/>
      <c r="N10" s="18"/>
    </row>
    <row r="11" spans="1:14" x14ac:dyDescent="0.3">
      <c r="A11" s="9" t="s">
        <v>195</v>
      </c>
      <c r="B11" s="42" t="s">
        <v>65</v>
      </c>
      <c r="C11" s="17"/>
      <c r="D11" s="10">
        <v>299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3">
      <c r="A12" s="3" t="s">
        <v>196</v>
      </c>
      <c r="B12" s="41" t="s">
        <v>65</v>
      </c>
      <c r="C12" s="18"/>
      <c r="D12" s="18"/>
      <c r="E12" s="18"/>
      <c r="F12" s="18"/>
      <c r="G12" s="4">
        <v>550</v>
      </c>
      <c r="H12" s="18"/>
      <c r="I12" s="18"/>
      <c r="J12" s="18"/>
      <c r="K12" s="18"/>
      <c r="L12" s="18"/>
      <c r="M12" s="18"/>
      <c r="N12" s="18"/>
    </row>
    <row r="13" spans="1:14" x14ac:dyDescent="0.3">
      <c r="A13" s="9" t="s">
        <v>197</v>
      </c>
      <c r="B13" s="10">
        <v>62.5</v>
      </c>
      <c r="C13" s="10">
        <v>298</v>
      </c>
      <c r="D13" s="17"/>
      <c r="E13" s="17"/>
      <c r="F13" s="17"/>
      <c r="G13" s="17"/>
      <c r="H13" s="10">
        <v>400</v>
      </c>
      <c r="I13" s="17"/>
      <c r="J13" s="17"/>
      <c r="K13" s="17"/>
      <c r="L13" s="17"/>
      <c r="M13" s="17"/>
      <c r="N13" s="17"/>
    </row>
    <row r="14" spans="1:14" x14ac:dyDescent="0.3">
      <c r="A14" s="3" t="s">
        <v>198</v>
      </c>
      <c r="B14" s="4">
        <v>14</v>
      </c>
      <c r="C14" s="4">
        <v>41</v>
      </c>
      <c r="D14" s="18"/>
      <c r="E14" s="18"/>
      <c r="F14" s="4">
        <v>41</v>
      </c>
      <c r="G14" s="18"/>
      <c r="H14" s="18"/>
      <c r="I14" s="4">
        <v>41</v>
      </c>
      <c r="J14" s="18"/>
      <c r="K14" s="18"/>
      <c r="L14" s="4">
        <v>41</v>
      </c>
      <c r="M14" s="18"/>
      <c r="N14" s="18"/>
    </row>
    <row r="15" spans="1:14" x14ac:dyDescent="0.3">
      <c r="A15" s="9" t="s">
        <v>199</v>
      </c>
      <c r="B15" s="10">
        <v>8</v>
      </c>
      <c r="C15" s="17"/>
      <c r="D15" s="17"/>
      <c r="E15" s="17"/>
      <c r="F15" s="17"/>
      <c r="G15" s="10">
        <v>95</v>
      </c>
      <c r="H15" s="17"/>
      <c r="I15" s="17"/>
      <c r="J15" s="17"/>
      <c r="K15" s="17"/>
      <c r="L15" s="17"/>
      <c r="M15" s="17"/>
      <c r="N15" s="17"/>
    </row>
    <row r="16" spans="1:14" x14ac:dyDescent="0.3">
      <c r="A16" s="3" t="s">
        <v>200</v>
      </c>
      <c r="B16" s="4">
        <v>25</v>
      </c>
      <c r="C16" s="18"/>
      <c r="D16" s="18"/>
      <c r="E16" s="18"/>
      <c r="F16" s="18"/>
      <c r="G16" s="18"/>
      <c r="H16" s="18"/>
      <c r="I16" s="4">
        <v>300</v>
      </c>
      <c r="J16" s="18"/>
      <c r="K16" s="18"/>
      <c r="L16" s="18"/>
      <c r="M16" s="18"/>
      <c r="N16" s="18"/>
    </row>
    <row r="17" spans="1:14" x14ac:dyDescent="0.3">
      <c r="A17" s="9" t="s">
        <v>201</v>
      </c>
      <c r="B17" s="10">
        <v>7.5</v>
      </c>
      <c r="C17" s="10">
        <v>107</v>
      </c>
      <c r="D17" s="17"/>
      <c r="E17" s="17"/>
      <c r="F17" s="17"/>
      <c r="G17" s="17"/>
      <c r="H17" s="17"/>
      <c r="I17" s="17"/>
      <c r="J17" s="17"/>
      <c r="K17" s="17"/>
      <c r="L17" s="17"/>
      <c r="M17" s="10">
        <v>90</v>
      </c>
      <c r="N17" s="17"/>
    </row>
    <row r="18" spans="1:14" x14ac:dyDescent="0.3">
      <c r="A18" s="3" t="s">
        <v>202</v>
      </c>
      <c r="B18" s="4">
        <v>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4">
        <v>80</v>
      </c>
      <c r="N18" s="18"/>
    </row>
    <row r="19" spans="1:14" x14ac:dyDescent="0.3">
      <c r="A19" s="9" t="s">
        <v>203</v>
      </c>
      <c r="B19" s="10">
        <v>10</v>
      </c>
      <c r="C19" s="10">
        <v>108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3">
      <c r="A20" s="3" t="s">
        <v>204</v>
      </c>
      <c r="B20" s="4">
        <v>15</v>
      </c>
      <c r="C20" s="18"/>
      <c r="D20" s="4">
        <v>45</v>
      </c>
      <c r="E20" s="18"/>
      <c r="F20" s="18"/>
      <c r="G20" s="4">
        <v>45</v>
      </c>
      <c r="H20" s="18"/>
      <c r="I20" s="18"/>
      <c r="J20" s="4">
        <v>45</v>
      </c>
      <c r="K20" s="18"/>
      <c r="L20" s="18"/>
      <c r="M20" s="4">
        <v>45</v>
      </c>
      <c r="N20" s="18"/>
    </row>
    <row r="21" spans="1:14" x14ac:dyDescent="0.3">
      <c r="A21" s="9" t="s">
        <v>205</v>
      </c>
      <c r="B21" s="10">
        <v>121</v>
      </c>
      <c r="C21" s="17"/>
      <c r="D21" s="17"/>
      <c r="E21" s="17"/>
      <c r="F21" s="17"/>
      <c r="G21" s="17"/>
      <c r="H21" s="10">
        <v>300</v>
      </c>
      <c r="I21" s="10">
        <v>300</v>
      </c>
      <c r="J21" s="17"/>
      <c r="K21" s="17"/>
      <c r="L21" s="17"/>
      <c r="M21" s="17"/>
      <c r="N21" s="17"/>
    </row>
    <row r="22" spans="1:14" x14ac:dyDescent="0.3">
      <c r="A22" s="3" t="s">
        <v>206</v>
      </c>
      <c r="B22" s="41" t="s">
        <v>65</v>
      </c>
      <c r="C22" s="4">
        <v>60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3">
      <c r="A23" s="9" t="s">
        <v>207</v>
      </c>
      <c r="B23" s="42" t="s">
        <v>65</v>
      </c>
      <c r="C23" s="10">
        <v>1690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x14ac:dyDescent="0.3">
      <c r="A24" s="34" t="s">
        <v>208</v>
      </c>
      <c r="B24" s="36"/>
      <c r="C24" s="43">
        <f t="shared" ref="C24:N24" si="0">SUM(C5:C23)</f>
        <v>2857</v>
      </c>
      <c r="D24" s="43">
        <f t="shared" si="0"/>
        <v>468</v>
      </c>
      <c r="E24" s="43">
        <f t="shared" si="0"/>
        <v>525</v>
      </c>
      <c r="F24" s="43">
        <f t="shared" si="0"/>
        <v>1449</v>
      </c>
      <c r="G24" s="43">
        <f t="shared" si="0"/>
        <v>750</v>
      </c>
      <c r="H24" s="43">
        <f t="shared" si="0"/>
        <v>820</v>
      </c>
      <c r="I24" s="43">
        <f t="shared" si="0"/>
        <v>891</v>
      </c>
      <c r="J24" s="43">
        <f t="shared" si="0"/>
        <v>115</v>
      </c>
      <c r="K24" s="43">
        <f t="shared" si="0"/>
        <v>4971</v>
      </c>
      <c r="L24" s="43">
        <f t="shared" si="0"/>
        <v>116</v>
      </c>
      <c r="M24" s="43">
        <f t="shared" si="0"/>
        <v>1515</v>
      </c>
      <c r="N24" s="43">
        <f t="shared" si="0"/>
        <v>140</v>
      </c>
    </row>
    <row r="25" spans="1:14" x14ac:dyDescent="0.3">
      <c r="A25" s="44" t="s">
        <v>209</v>
      </c>
      <c r="B25" s="45"/>
      <c r="C25" s="46">
        <v>1086</v>
      </c>
      <c r="D25" s="46">
        <v>1086</v>
      </c>
      <c r="E25" s="46">
        <v>1086</v>
      </c>
      <c r="F25" s="46">
        <v>1086</v>
      </c>
      <c r="G25" s="46">
        <v>1086</v>
      </c>
      <c r="H25" s="46">
        <v>1086</v>
      </c>
      <c r="I25" s="46">
        <v>1086</v>
      </c>
      <c r="J25" s="46">
        <v>1086</v>
      </c>
      <c r="K25" s="46">
        <v>1086</v>
      </c>
      <c r="L25" s="46">
        <v>1086</v>
      </c>
      <c r="M25" s="46">
        <v>1086</v>
      </c>
      <c r="N25" s="46">
        <v>1086</v>
      </c>
    </row>
    <row r="26" spans="1:14" x14ac:dyDescent="0.3">
      <c r="A26" s="47" t="s">
        <v>210</v>
      </c>
      <c r="B26" s="48"/>
      <c r="C26" s="49">
        <f>C25-C24</f>
        <v>-1771</v>
      </c>
      <c r="D26" s="49">
        <f t="shared" ref="D26:N26" si="1">C26+D25-D24</f>
        <v>-1153</v>
      </c>
      <c r="E26" s="49">
        <f t="shared" si="1"/>
        <v>-592</v>
      </c>
      <c r="F26" s="49">
        <f t="shared" si="1"/>
        <v>-955</v>
      </c>
      <c r="G26" s="49">
        <f t="shared" si="1"/>
        <v>-619</v>
      </c>
      <c r="H26" s="49">
        <f t="shared" si="1"/>
        <v>-353</v>
      </c>
      <c r="I26" s="49">
        <f t="shared" si="1"/>
        <v>-158</v>
      </c>
      <c r="J26" s="49">
        <f t="shared" si="1"/>
        <v>813</v>
      </c>
      <c r="K26" s="49">
        <f t="shared" si="1"/>
        <v>-3072</v>
      </c>
      <c r="L26" s="49">
        <f t="shared" si="1"/>
        <v>-2102</v>
      </c>
      <c r="M26" s="49">
        <f t="shared" si="1"/>
        <v>-2531</v>
      </c>
      <c r="N26" s="49">
        <f t="shared" si="1"/>
        <v>-1585</v>
      </c>
    </row>
    <row r="28" spans="1:14" x14ac:dyDescent="0.3">
      <c r="A28" s="71" t="s">
        <v>211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</row>
  </sheetData>
  <mergeCells count="2">
    <mergeCell ref="A28:N2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8" customWidth="1"/>
    <col min="3" max="3" width="9" customWidth="1"/>
    <col min="4" max="4" width="12" customWidth="1"/>
    <col min="5" max="16" width="9" customWidth="1"/>
    <col min="17" max="18" width="11" customWidth="1"/>
    <col min="19" max="21" width="9" customWidth="1"/>
  </cols>
  <sheetData>
    <row r="1" spans="1:21" ht="30" customHeight="1" x14ac:dyDescent="0.3">
      <c r="A1" s="77" t="s">
        <v>212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3" spans="1:21" x14ac:dyDescent="0.3">
      <c r="G3" s="50" t="s">
        <v>213</v>
      </c>
      <c r="H3" s="50" t="s">
        <v>214</v>
      </c>
      <c r="I3" s="50" t="s">
        <v>215</v>
      </c>
      <c r="J3" s="50" t="s">
        <v>216</v>
      </c>
      <c r="K3" s="50" t="s">
        <v>217</v>
      </c>
      <c r="L3" s="50" t="s">
        <v>218</v>
      </c>
      <c r="M3" s="50" t="s">
        <v>219</v>
      </c>
      <c r="N3" s="50" t="s">
        <v>220</v>
      </c>
      <c r="O3" s="50" t="s">
        <v>221</v>
      </c>
      <c r="Q3" s="50" t="s">
        <v>222</v>
      </c>
      <c r="R3" s="50" t="s">
        <v>223</v>
      </c>
      <c r="S3" s="50" t="s">
        <v>224</v>
      </c>
    </row>
    <row r="4" spans="1:21" ht="43.2" x14ac:dyDescent="0.3">
      <c r="B4" s="51" t="s">
        <v>225</v>
      </c>
      <c r="C4" s="52">
        <f>SUM(Q6:Q50)</f>
        <v>0</v>
      </c>
      <c r="D4" s="53" t="s">
        <v>226</v>
      </c>
    </row>
    <row r="5" spans="1:21" x14ac:dyDescent="0.3">
      <c r="B5" s="73" t="s">
        <v>227</v>
      </c>
      <c r="C5" s="68"/>
    </row>
    <row r="6" spans="1:21" x14ac:dyDescent="0.3">
      <c r="B6" s="3" t="s">
        <v>228</v>
      </c>
      <c r="C6" s="4">
        <v>838</v>
      </c>
      <c r="D6" s="54">
        <v>838</v>
      </c>
      <c r="E6" s="4">
        <f t="shared" ref="E6:E24" si="0">SUM(G6:N6)</f>
        <v>0</v>
      </c>
      <c r="F6" s="55">
        <f t="shared" ref="F6:F24" si="1">E6-D6</f>
        <v>-838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21">
        <f t="shared" ref="O6:O24" si="2">D6-E6</f>
        <v>838</v>
      </c>
      <c r="Q6" s="18"/>
      <c r="R6" s="18"/>
      <c r="S6" s="57" t="str">
        <f t="shared" ref="S6:S24" si="3">IF(E6&gt;D6,"⚠ OVER","")</f>
        <v/>
      </c>
    </row>
    <row r="7" spans="1:21" x14ac:dyDescent="0.3">
      <c r="B7" s="9" t="s">
        <v>229</v>
      </c>
      <c r="C7" s="10">
        <v>183.12</v>
      </c>
      <c r="D7" s="54">
        <v>183.12</v>
      </c>
      <c r="E7" s="10">
        <f t="shared" si="0"/>
        <v>0</v>
      </c>
      <c r="F7" s="58">
        <f t="shared" si="1"/>
        <v>-183.12</v>
      </c>
      <c r="G7" s="59">
        <v>0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22">
        <f t="shared" si="2"/>
        <v>183.12</v>
      </c>
      <c r="Q7" s="17"/>
      <c r="R7" s="17"/>
      <c r="S7" s="60" t="str">
        <f t="shared" si="3"/>
        <v/>
      </c>
    </row>
    <row r="8" spans="1:21" x14ac:dyDescent="0.3">
      <c r="B8" s="3" t="s">
        <v>230</v>
      </c>
      <c r="C8" s="4">
        <v>141.79</v>
      </c>
      <c r="D8" s="54">
        <v>141.79</v>
      </c>
      <c r="E8" s="4">
        <f t="shared" si="0"/>
        <v>0</v>
      </c>
      <c r="F8" s="55">
        <f t="shared" si="1"/>
        <v>-141.79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21">
        <f t="shared" si="2"/>
        <v>141.79</v>
      </c>
      <c r="Q8" s="18"/>
      <c r="R8" s="18"/>
      <c r="S8" s="57" t="str">
        <f t="shared" si="3"/>
        <v/>
      </c>
    </row>
    <row r="9" spans="1:21" x14ac:dyDescent="0.3">
      <c r="B9" s="9" t="s">
        <v>59</v>
      </c>
      <c r="C9" s="10">
        <v>87.84</v>
      </c>
      <c r="D9" s="54">
        <v>87.84</v>
      </c>
      <c r="E9" s="10">
        <f t="shared" si="0"/>
        <v>0</v>
      </c>
      <c r="F9" s="58">
        <f t="shared" si="1"/>
        <v>-87.84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22">
        <f t="shared" si="2"/>
        <v>87.84</v>
      </c>
      <c r="Q9" s="17"/>
      <c r="R9" s="17"/>
      <c r="S9" s="60" t="str">
        <f t="shared" si="3"/>
        <v/>
      </c>
    </row>
    <row r="10" spans="1:21" x14ac:dyDescent="0.3">
      <c r="B10" s="3" t="s">
        <v>231</v>
      </c>
      <c r="C10" s="4">
        <v>54.98</v>
      </c>
      <c r="D10" s="54">
        <v>54.98</v>
      </c>
      <c r="E10" s="4">
        <f t="shared" si="0"/>
        <v>0</v>
      </c>
      <c r="F10" s="55">
        <f t="shared" si="1"/>
        <v>-54.98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21">
        <f t="shared" si="2"/>
        <v>54.98</v>
      </c>
      <c r="Q10" s="18"/>
      <c r="R10" s="18"/>
      <c r="S10" s="57" t="str">
        <f t="shared" si="3"/>
        <v/>
      </c>
    </row>
    <row r="11" spans="1:21" x14ac:dyDescent="0.3">
      <c r="B11" s="9" t="s">
        <v>232</v>
      </c>
      <c r="C11" s="10">
        <v>87.88</v>
      </c>
      <c r="D11" s="54">
        <v>87.88</v>
      </c>
      <c r="E11" s="10">
        <f t="shared" si="0"/>
        <v>0</v>
      </c>
      <c r="F11" s="58">
        <f t="shared" si="1"/>
        <v>-87.88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22">
        <f t="shared" si="2"/>
        <v>87.88</v>
      </c>
      <c r="Q11" s="17"/>
      <c r="R11" s="17"/>
      <c r="S11" s="60" t="str">
        <f t="shared" si="3"/>
        <v/>
      </c>
    </row>
    <row r="12" spans="1:21" x14ac:dyDescent="0.3">
      <c r="B12" s="3" t="s">
        <v>69</v>
      </c>
      <c r="C12" s="4">
        <v>37</v>
      </c>
      <c r="D12" s="54">
        <v>37</v>
      </c>
      <c r="E12" s="4">
        <f t="shared" si="0"/>
        <v>0</v>
      </c>
      <c r="F12" s="55">
        <f t="shared" si="1"/>
        <v>-37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21">
        <f t="shared" si="2"/>
        <v>37</v>
      </c>
      <c r="Q12" s="18"/>
      <c r="R12" s="18"/>
      <c r="S12" s="57" t="str">
        <f t="shared" si="3"/>
        <v/>
      </c>
    </row>
    <row r="13" spans="1:21" x14ac:dyDescent="0.3">
      <c r="B13" s="9" t="s">
        <v>72</v>
      </c>
      <c r="C13" s="10">
        <v>29.1</v>
      </c>
      <c r="D13" s="54">
        <v>29.1</v>
      </c>
      <c r="E13" s="10">
        <f t="shared" si="0"/>
        <v>0</v>
      </c>
      <c r="F13" s="58">
        <f t="shared" si="1"/>
        <v>-29.1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22">
        <f t="shared" si="2"/>
        <v>29.1</v>
      </c>
      <c r="Q13" s="17"/>
      <c r="R13" s="17"/>
      <c r="S13" s="60" t="str">
        <f t="shared" si="3"/>
        <v/>
      </c>
    </row>
    <row r="14" spans="1:21" x14ac:dyDescent="0.3">
      <c r="B14" s="3" t="s">
        <v>233</v>
      </c>
      <c r="C14" s="4">
        <v>45.79</v>
      </c>
      <c r="D14" s="54">
        <v>45.79</v>
      </c>
      <c r="E14" s="4">
        <f t="shared" si="0"/>
        <v>0</v>
      </c>
      <c r="F14" s="55">
        <f t="shared" si="1"/>
        <v>-45.79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21">
        <f t="shared" si="2"/>
        <v>45.79</v>
      </c>
      <c r="Q14" s="18"/>
      <c r="R14" s="18"/>
      <c r="S14" s="57" t="str">
        <f t="shared" si="3"/>
        <v/>
      </c>
    </row>
    <row r="15" spans="1:21" x14ac:dyDescent="0.3">
      <c r="B15" s="9" t="s">
        <v>234</v>
      </c>
      <c r="C15" s="10">
        <v>896.86</v>
      </c>
      <c r="D15" s="54">
        <v>896.86</v>
      </c>
      <c r="E15" s="10">
        <f t="shared" si="0"/>
        <v>0</v>
      </c>
      <c r="F15" s="58">
        <f t="shared" si="1"/>
        <v>-896.86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22">
        <f t="shared" si="2"/>
        <v>896.86</v>
      </c>
      <c r="Q15" s="17"/>
      <c r="R15" s="17"/>
      <c r="S15" s="60" t="str">
        <f t="shared" si="3"/>
        <v/>
      </c>
    </row>
    <row r="16" spans="1:21" x14ac:dyDescent="0.3">
      <c r="B16" s="3" t="s">
        <v>235</v>
      </c>
      <c r="C16" s="4">
        <v>355.72</v>
      </c>
      <c r="D16" s="54">
        <v>355.72</v>
      </c>
      <c r="E16" s="4">
        <f t="shared" si="0"/>
        <v>0</v>
      </c>
      <c r="F16" s="55">
        <f t="shared" si="1"/>
        <v>-355.72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21">
        <f t="shared" si="2"/>
        <v>355.72</v>
      </c>
      <c r="Q16" s="18"/>
      <c r="R16" s="18"/>
      <c r="S16" s="57" t="str">
        <f t="shared" si="3"/>
        <v/>
      </c>
    </row>
    <row r="17" spans="2:19" x14ac:dyDescent="0.3">
      <c r="B17" s="9" t="s">
        <v>236</v>
      </c>
      <c r="C17" s="10">
        <v>15</v>
      </c>
      <c r="D17" s="54">
        <v>15</v>
      </c>
      <c r="E17" s="10">
        <f t="shared" si="0"/>
        <v>0</v>
      </c>
      <c r="F17" s="58">
        <f t="shared" si="1"/>
        <v>-15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22">
        <f t="shared" si="2"/>
        <v>15</v>
      </c>
      <c r="Q17" s="17"/>
      <c r="R17" s="17"/>
      <c r="S17" s="60" t="str">
        <f t="shared" si="3"/>
        <v/>
      </c>
    </row>
    <row r="18" spans="2:19" x14ac:dyDescent="0.3">
      <c r="B18" s="3" t="s">
        <v>78</v>
      </c>
      <c r="C18" s="4">
        <v>50</v>
      </c>
      <c r="D18" s="54">
        <v>50</v>
      </c>
      <c r="E18" s="4">
        <f t="shared" si="0"/>
        <v>0</v>
      </c>
      <c r="F18" s="55">
        <f t="shared" si="1"/>
        <v>-50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21">
        <f t="shared" si="2"/>
        <v>50</v>
      </c>
      <c r="Q18" s="18"/>
      <c r="R18" s="18"/>
      <c r="S18" s="57" t="str">
        <f t="shared" si="3"/>
        <v/>
      </c>
    </row>
    <row r="19" spans="2:19" x14ac:dyDescent="0.3">
      <c r="B19" s="9" t="s">
        <v>197</v>
      </c>
      <c r="C19" s="10">
        <v>118</v>
      </c>
      <c r="D19" s="54">
        <v>118</v>
      </c>
      <c r="E19" s="10">
        <f t="shared" si="0"/>
        <v>0</v>
      </c>
      <c r="F19" s="58">
        <f t="shared" si="1"/>
        <v>-118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22">
        <f t="shared" si="2"/>
        <v>118</v>
      </c>
      <c r="Q19" s="17"/>
      <c r="R19" s="17"/>
      <c r="S19" s="60" t="str">
        <f t="shared" si="3"/>
        <v/>
      </c>
    </row>
    <row r="20" spans="2:19" x14ac:dyDescent="0.3">
      <c r="B20" s="3" t="s">
        <v>237</v>
      </c>
      <c r="C20" s="4">
        <v>50</v>
      </c>
      <c r="D20" s="54">
        <v>50</v>
      </c>
      <c r="E20" s="4">
        <f t="shared" si="0"/>
        <v>0</v>
      </c>
      <c r="F20" s="55">
        <f t="shared" si="1"/>
        <v>-50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21">
        <f t="shared" si="2"/>
        <v>50</v>
      </c>
      <c r="Q20" s="18"/>
      <c r="R20" s="18"/>
      <c r="S20" s="57" t="str">
        <f t="shared" si="3"/>
        <v/>
      </c>
    </row>
    <row r="21" spans="2:19" x14ac:dyDescent="0.3">
      <c r="B21" s="9" t="s">
        <v>238</v>
      </c>
      <c r="C21" s="10">
        <v>82.37</v>
      </c>
      <c r="D21" s="54">
        <v>82.37</v>
      </c>
      <c r="E21" s="10">
        <f t="shared" si="0"/>
        <v>0</v>
      </c>
      <c r="F21" s="58">
        <f t="shared" si="1"/>
        <v>-82.37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22">
        <f t="shared" si="2"/>
        <v>82.37</v>
      </c>
      <c r="Q21" s="17"/>
      <c r="R21" s="17"/>
      <c r="S21" s="60" t="str">
        <f t="shared" si="3"/>
        <v/>
      </c>
    </row>
    <row r="22" spans="2:19" x14ac:dyDescent="0.3">
      <c r="B22" s="3" t="s">
        <v>239</v>
      </c>
      <c r="C22" s="4">
        <v>160</v>
      </c>
      <c r="D22" s="54">
        <v>160</v>
      </c>
      <c r="E22" s="4">
        <f t="shared" si="0"/>
        <v>0</v>
      </c>
      <c r="F22" s="55">
        <f t="shared" si="1"/>
        <v>-160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21">
        <f t="shared" si="2"/>
        <v>160</v>
      </c>
      <c r="Q22" s="18"/>
      <c r="R22" s="18"/>
      <c r="S22" s="57" t="str">
        <f t="shared" si="3"/>
        <v/>
      </c>
    </row>
    <row r="23" spans="2:19" x14ac:dyDescent="0.3">
      <c r="B23" s="9" t="s">
        <v>240</v>
      </c>
      <c r="C23" s="10">
        <v>400</v>
      </c>
      <c r="D23" s="54">
        <v>400</v>
      </c>
      <c r="E23" s="10">
        <f t="shared" si="0"/>
        <v>0</v>
      </c>
      <c r="F23" s="58">
        <f t="shared" si="1"/>
        <v>-400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22">
        <f t="shared" si="2"/>
        <v>400</v>
      </c>
      <c r="Q23" s="17"/>
      <c r="R23" s="17"/>
      <c r="S23" s="60" t="str">
        <f t="shared" si="3"/>
        <v/>
      </c>
    </row>
    <row r="24" spans="2:19" x14ac:dyDescent="0.3">
      <c r="B24" s="3" t="s">
        <v>241</v>
      </c>
      <c r="C24" s="4">
        <v>120</v>
      </c>
      <c r="D24" s="54">
        <v>120</v>
      </c>
      <c r="E24" s="4">
        <f t="shared" si="0"/>
        <v>0</v>
      </c>
      <c r="F24" s="55">
        <f t="shared" si="1"/>
        <v>-120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21">
        <f t="shared" si="2"/>
        <v>120</v>
      </c>
      <c r="Q24" s="18"/>
      <c r="R24" s="18"/>
      <c r="S24" s="57" t="str">
        <f t="shared" si="3"/>
        <v/>
      </c>
    </row>
    <row r="25" spans="2:19" x14ac:dyDescent="0.3">
      <c r="B25" s="34" t="s">
        <v>242</v>
      </c>
      <c r="C25" s="35">
        <f>SUM(C6:C24)</f>
        <v>3753.45</v>
      </c>
      <c r="D25" s="35">
        <f>SUM(D6:D24)</f>
        <v>3753.45</v>
      </c>
      <c r="E25" s="35">
        <f>SUM(E6:E24)</f>
        <v>0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</row>
    <row r="26" spans="2:19" x14ac:dyDescent="0.3">
      <c r="B26" s="76" t="s">
        <v>243</v>
      </c>
      <c r="C26" s="68"/>
    </row>
    <row r="27" spans="2:19" x14ac:dyDescent="0.3">
      <c r="B27" s="3" t="s">
        <v>244</v>
      </c>
      <c r="C27" s="4">
        <v>600</v>
      </c>
      <c r="D27" s="61">
        <v>600</v>
      </c>
      <c r="E27" s="4">
        <f t="shared" ref="E27:E34" si="4">SUM(G27:N27)</f>
        <v>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2:19" x14ac:dyDescent="0.3">
      <c r="B28" s="9" t="s">
        <v>191</v>
      </c>
      <c r="C28" s="10">
        <v>230</v>
      </c>
      <c r="D28" s="61">
        <v>230</v>
      </c>
      <c r="E28" s="10">
        <f t="shared" si="4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2:19" x14ac:dyDescent="0.3">
      <c r="B29" s="3" t="s">
        <v>245</v>
      </c>
      <c r="C29" s="4">
        <v>70</v>
      </c>
      <c r="D29" s="61">
        <v>70</v>
      </c>
      <c r="E29" s="4">
        <f t="shared" si="4"/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2:19" x14ac:dyDescent="0.3">
      <c r="B30" s="9" t="s">
        <v>246</v>
      </c>
      <c r="C30" s="10">
        <v>0</v>
      </c>
      <c r="D30" s="61">
        <v>0</v>
      </c>
      <c r="E30" s="10">
        <f t="shared" si="4"/>
        <v>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2:19" x14ac:dyDescent="0.3">
      <c r="B31" s="3" t="s">
        <v>234</v>
      </c>
      <c r="C31" s="4">
        <v>0</v>
      </c>
      <c r="D31" s="61">
        <v>0</v>
      </c>
      <c r="E31" s="4">
        <f t="shared" si="4"/>
        <v>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2:19" x14ac:dyDescent="0.3">
      <c r="B32" s="9" t="s">
        <v>197</v>
      </c>
      <c r="C32" s="10">
        <v>0</v>
      </c>
      <c r="D32" s="61">
        <v>0</v>
      </c>
      <c r="E32" s="10">
        <f t="shared" si="4"/>
        <v>0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2:19" x14ac:dyDescent="0.3">
      <c r="B33" s="3" t="s">
        <v>237</v>
      </c>
      <c r="C33" s="4">
        <v>0</v>
      </c>
      <c r="D33" s="61">
        <v>0</v>
      </c>
      <c r="E33" s="4">
        <f t="shared" si="4"/>
        <v>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2:19" x14ac:dyDescent="0.3">
      <c r="B34" s="9" t="s">
        <v>247</v>
      </c>
      <c r="C34" s="10">
        <v>0</v>
      </c>
      <c r="D34" s="61">
        <v>0</v>
      </c>
      <c r="E34" s="10">
        <f t="shared" si="4"/>
        <v>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2:19" x14ac:dyDescent="0.3">
      <c r="B35" s="34" t="s">
        <v>248</v>
      </c>
      <c r="C35" s="35">
        <f>SUM(C27:C34)</f>
        <v>900</v>
      </c>
      <c r="D35" s="35">
        <f>SUM(D27:D34)</f>
        <v>900</v>
      </c>
      <c r="E35" s="35">
        <f>SUM(E27:E34)</f>
        <v>0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</row>
    <row r="36" spans="2:19" x14ac:dyDescent="0.3">
      <c r="B36" s="74" t="s">
        <v>249</v>
      </c>
      <c r="C36" s="68"/>
    </row>
    <row r="37" spans="2:19" x14ac:dyDescent="0.3">
      <c r="B37" s="31" t="s">
        <v>250</v>
      </c>
      <c r="C37" s="52">
        <f>C4-C25-C35</f>
        <v>-4653.45</v>
      </c>
      <c r="D37" s="62" t="e">
        <f>D4-D25-D35</f>
        <v>#VALUE!</v>
      </c>
      <c r="E37" s="23">
        <f>SUM(G37:N37)</f>
        <v>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9" spans="2:19" x14ac:dyDescent="0.3">
      <c r="B39" s="75" t="s">
        <v>251</v>
      </c>
      <c r="C39" s="68"/>
      <c r="D39" s="68"/>
      <c r="E39" s="63" t="s">
        <v>252</v>
      </c>
    </row>
    <row r="40" spans="2:19" x14ac:dyDescent="0.3">
      <c r="B40" s="72" t="s">
        <v>225</v>
      </c>
      <c r="C40" s="68"/>
      <c r="D40" s="68"/>
      <c r="E40" s="64">
        <f>C4</f>
        <v>0</v>
      </c>
    </row>
    <row r="41" spans="2:19" x14ac:dyDescent="0.3">
      <c r="B41" s="72" t="s">
        <v>253</v>
      </c>
      <c r="C41" s="68"/>
      <c r="D41" s="68"/>
      <c r="E41" s="64">
        <f>C25</f>
        <v>3753.45</v>
      </c>
    </row>
    <row r="42" spans="2:19" x14ac:dyDescent="0.3">
      <c r="B42" s="72" t="s">
        <v>254</v>
      </c>
      <c r="C42" s="68"/>
      <c r="D42" s="68"/>
      <c r="E42" s="64">
        <f>C35</f>
        <v>900</v>
      </c>
    </row>
    <row r="43" spans="2:19" x14ac:dyDescent="0.3">
      <c r="B43" s="72" t="s">
        <v>250</v>
      </c>
      <c r="C43" s="68"/>
      <c r="D43" s="68"/>
      <c r="E43" s="64">
        <f>C37</f>
        <v>-4653.45</v>
      </c>
    </row>
    <row r="45" spans="2:19" x14ac:dyDescent="0.3">
      <c r="B45" s="67" t="s">
        <v>255</v>
      </c>
      <c r="C45" s="68"/>
      <c r="D45" s="68"/>
      <c r="E45" s="68"/>
      <c r="F45" s="68"/>
      <c r="G45" s="68"/>
      <c r="H45" s="68"/>
      <c r="I45" s="68"/>
    </row>
    <row r="46" spans="2:19" ht="27.6" x14ac:dyDescent="0.3">
      <c r="B46" s="39" t="s">
        <v>24</v>
      </c>
      <c r="C46" s="39" t="s">
        <v>256</v>
      </c>
      <c r="D46" s="39" t="s">
        <v>257</v>
      </c>
      <c r="E46" s="39" t="s">
        <v>9</v>
      </c>
    </row>
    <row r="47" spans="2:19" x14ac:dyDescent="0.3">
      <c r="B47" s="18"/>
      <c r="C47" s="18"/>
      <c r="D47" s="18"/>
      <c r="E47" s="18"/>
    </row>
    <row r="48" spans="2:19" x14ac:dyDescent="0.3">
      <c r="B48" s="17"/>
      <c r="C48" s="17"/>
      <c r="D48" s="17"/>
      <c r="E48" s="17"/>
    </row>
    <row r="49" spans="2:5" x14ac:dyDescent="0.3">
      <c r="B49" s="18"/>
      <c r="C49" s="18"/>
      <c r="D49" s="18"/>
      <c r="E49" s="18"/>
    </row>
    <row r="50" spans="2:5" x14ac:dyDescent="0.3">
      <c r="B50" s="17"/>
      <c r="C50" s="17"/>
      <c r="D50" s="17"/>
      <c r="E50" s="17"/>
    </row>
    <row r="51" spans="2:5" x14ac:dyDescent="0.3">
      <c r="B51" s="18"/>
      <c r="C51" s="18"/>
      <c r="D51" s="18"/>
      <c r="E51" s="18"/>
    </row>
  </sheetData>
  <mergeCells count="10">
    <mergeCell ref="A1:U1"/>
    <mergeCell ref="B42:D42"/>
    <mergeCell ref="B43:D43"/>
    <mergeCell ref="B45:I45"/>
    <mergeCell ref="B41:D41"/>
    <mergeCell ref="B5:C5"/>
    <mergeCell ref="B40:D40"/>
    <mergeCell ref="B36:C36"/>
    <mergeCell ref="B39:D39"/>
    <mergeCell ref="B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showGridLines="0" workbookViewId="0"/>
  </sheetViews>
  <sheetFormatPr defaultRowHeight="14.4" x14ac:dyDescent="0.3"/>
  <cols>
    <col min="1" max="1" width="30" customWidth="1"/>
    <col min="2" max="3" width="16" customWidth="1"/>
    <col min="4" max="4" width="30" customWidth="1"/>
  </cols>
  <sheetData>
    <row r="1" spans="1:4" ht="30" customHeight="1" x14ac:dyDescent="0.3">
      <c r="A1" s="70" t="s">
        <v>258</v>
      </c>
      <c r="B1" s="68"/>
      <c r="C1" s="68"/>
      <c r="D1" s="68"/>
    </row>
    <row r="3" spans="1:4" x14ac:dyDescent="0.3">
      <c r="A3" s="15" t="s">
        <v>259</v>
      </c>
      <c r="B3" s="9"/>
    </row>
    <row r="4" spans="1:4" x14ac:dyDescent="0.3">
      <c r="A4" s="15" t="s">
        <v>260</v>
      </c>
      <c r="B4" s="9"/>
    </row>
    <row r="5" spans="1:4" x14ac:dyDescent="0.3">
      <c r="A5" s="15" t="s">
        <v>261</v>
      </c>
      <c r="B5" s="9"/>
    </row>
    <row r="6" spans="1:4" x14ac:dyDescent="0.3">
      <c r="A6" s="15" t="s">
        <v>262</v>
      </c>
      <c r="B6" s="9"/>
    </row>
    <row r="8" spans="1:4" x14ac:dyDescent="0.3">
      <c r="A8" s="69" t="s">
        <v>263</v>
      </c>
      <c r="B8" s="68"/>
      <c r="C8" s="68"/>
      <c r="D8" s="68"/>
    </row>
    <row r="9" spans="1:4" x14ac:dyDescent="0.3">
      <c r="A9" s="1" t="s">
        <v>24</v>
      </c>
      <c r="B9" s="1" t="s">
        <v>264</v>
      </c>
      <c r="C9" s="1" t="s">
        <v>265</v>
      </c>
      <c r="D9" s="1" t="s">
        <v>9</v>
      </c>
    </row>
    <row r="10" spans="1:4" x14ac:dyDescent="0.3">
      <c r="A10" s="3" t="s">
        <v>266</v>
      </c>
      <c r="B10" s="4">
        <v>0</v>
      </c>
      <c r="C10" s="4">
        <v>0</v>
      </c>
      <c r="D10" s="18"/>
    </row>
    <row r="11" spans="1:4" x14ac:dyDescent="0.3">
      <c r="A11" s="9" t="s">
        <v>267</v>
      </c>
      <c r="B11" s="10">
        <v>0</v>
      </c>
      <c r="C11" s="10">
        <v>0</v>
      </c>
      <c r="D11" s="17"/>
    </row>
    <row r="12" spans="1:4" x14ac:dyDescent="0.3">
      <c r="A12" s="3" t="s">
        <v>268</v>
      </c>
      <c r="B12" s="4">
        <v>0</v>
      </c>
      <c r="C12" s="4">
        <v>0</v>
      </c>
      <c r="D12" s="18"/>
    </row>
    <row r="13" spans="1:4" x14ac:dyDescent="0.3">
      <c r="A13" s="9" t="s">
        <v>269</v>
      </c>
      <c r="B13" s="10">
        <v>0</v>
      </c>
      <c r="C13" s="10">
        <v>0</v>
      </c>
      <c r="D13" s="17"/>
    </row>
    <row r="14" spans="1:4" x14ac:dyDescent="0.3">
      <c r="A14" s="3" t="s">
        <v>270</v>
      </c>
      <c r="B14" s="4">
        <v>0</v>
      </c>
      <c r="C14" s="4">
        <v>0</v>
      </c>
      <c r="D14" s="18"/>
    </row>
    <row r="15" spans="1:4" x14ac:dyDescent="0.3">
      <c r="A15" s="9" t="s">
        <v>271</v>
      </c>
      <c r="B15" s="10">
        <v>0</v>
      </c>
      <c r="C15" s="10">
        <v>0</v>
      </c>
      <c r="D15" s="17"/>
    </row>
    <row r="16" spans="1:4" x14ac:dyDescent="0.3">
      <c r="A16" s="3" t="s">
        <v>272</v>
      </c>
      <c r="B16" s="4">
        <v>0</v>
      </c>
      <c r="C16" s="4">
        <v>0</v>
      </c>
      <c r="D16" s="18"/>
    </row>
    <row r="17" spans="1:4" x14ac:dyDescent="0.3">
      <c r="A17" s="9" t="s">
        <v>273</v>
      </c>
      <c r="B17" s="10">
        <v>0</v>
      </c>
      <c r="C17" s="10">
        <v>0</v>
      </c>
      <c r="D17" s="17"/>
    </row>
    <row r="18" spans="1:4" x14ac:dyDescent="0.3">
      <c r="A18" s="3" t="s">
        <v>274</v>
      </c>
      <c r="B18" s="4">
        <v>0</v>
      </c>
      <c r="C18" s="4">
        <v>0</v>
      </c>
      <c r="D18" s="18"/>
    </row>
    <row r="19" spans="1:4" x14ac:dyDescent="0.3">
      <c r="A19" s="34" t="s">
        <v>275</v>
      </c>
      <c r="B19" s="35">
        <f>SUM(B10:B18)</f>
        <v>0</v>
      </c>
      <c r="C19" s="35">
        <f>SUM(C10:C18)</f>
        <v>0</v>
      </c>
    </row>
    <row r="21" spans="1:4" x14ac:dyDescent="0.3">
      <c r="A21" s="67" t="s">
        <v>276</v>
      </c>
      <c r="B21" s="68"/>
      <c r="C21" s="68"/>
      <c r="D21" s="68"/>
    </row>
    <row r="22" spans="1:4" x14ac:dyDescent="0.3">
      <c r="A22" s="1" t="s">
        <v>24</v>
      </c>
      <c r="B22" s="1" t="s">
        <v>277</v>
      </c>
      <c r="C22" s="1"/>
      <c r="D22" s="1" t="s">
        <v>9</v>
      </c>
    </row>
    <row r="23" spans="1:4" x14ac:dyDescent="0.3">
      <c r="A23" s="3" t="s">
        <v>278</v>
      </c>
      <c r="B23" s="4">
        <v>0</v>
      </c>
      <c r="C23" s="18"/>
      <c r="D23" s="18"/>
    </row>
    <row r="24" spans="1:4" x14ac:dyDescent="0.3">
      <c r="A24" s="9" t="s">
        <v>279</v>
      </c>
      <c r="B24" s="10">
        <v>0</v>
      </c>
      <c r="C24" s="17"/>
      <c r="D24" s="17"/>
    </row>
    <row r="25" spans="1:4" x14ac:dyDescent="0.3">
      <c r="A25" s="3" t="s">
        <v>280</v>
      </c>
      <c r="B25" s="4">
        <v>0</v>
      </c>
      <c r="C25" s="18"/>
      <c r="D25" s="18"/>
    </row>
    <row r="26" spans="1:4" x14ac:dyDescent="0.3">
      <c r="A26" s="9" t="s">
        <v>281</v>
      </c>
      <c r="B26" s="10">
        <v>0</v>
      </c>
      <c r="C26" s="17"/>
      <c r="D26" s="17"/>
    </row>
    <row r="28" spans="1:4" ht="46.8" x14ac:dyDescent="0.3">
      <c r="A28" s="65" t="s">
        <v>282</v>
      </c>
      <c r="B28" s="66">
        <f>B19+SUM(B23:B26)</f>
        <v>0</v>
      </c>
    </row>
    <row r="30" spans="1:4" x14ac:dyDescent="0.3">
      <c r="A30" s="78" t="s">
        <v>283</v>
      </c>
      <c r="B30" s="68"/>
      <c r="C30" s="68"/>
      <c r="D30" s="68"/>
    </row>
  </sheetData>
  <mergeCells count="4">
    <mergeCell ref="A1:D1"/>
    <mergeCell ref="A30:D30"/>
    <mergeCell ref="A8:D8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LOANS</vt:lpstr>
      <vt:lpstr>SINKING FUND</vt:lpstr>
      <vt:lpstr>MONTHLY TEMPLATE</vt:lpstr>
      <vt:lpstr>HOLIDAY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Varley</cp:lastModifiedBy>
  <dcterms:created xsi:type="dcterms:W3CDTF">2026-03-23T23:15:33Z</dcterms:created>
  <dcterms:modified xsi:type="dcterms:W3CDTF">2026-03-23T23:32:41Z</dcterms:modified>
</cp:coreProperties>
</file>